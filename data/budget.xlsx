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odolab.sharepoint.com/sites/administration/Shared Documents/01_Finance/Budget/"/>
    </mc:Choice>
  </mc:AlternateContent>
  <xr:revisionPtr revIDLastSave="579" documentId="8_{6DD414A5-5917-4B2D-BD1B-D4A58CBFA4E5}" xr6:coauthVersionLast="47" xr6:coauthVersionMax="47" xr10:uidLastSave="{39250474-BEE8-4329-99E0-76E7EE239A72}"/>
  <bookViews>
    <workbookView xWindow="-108" yWindow="-108" windowWidth="30936" windowHeight="16776" xr2:uid="{18163592-991D-4DD3-9724-A5D2300ACAE8}"/>
  </bookViews>
  <sheets>
    <sheet name="Budget - Consul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29" i="1"/>
  <c r="F24" i="1"/>
  <c r="F19" i="1"/>
  <c r="F14" i="1"/>
  <c r="F9" i="1"/>
  <c r="F5" i="1"/>
  <c r="F13" i="1"/>
  <c r="F22" i="1"/>
  <c r="F10" i="1"/>
  <c r="F11" i="1"/>
  <c r="F17" i="1"/>
  <c r="F23" i="1"/>
  <c r="F27" i="1"/>
  <c r="F28" i="1"/>
  <c r="F38" i="1"/>
  <c r="F45" i="1"/>
  <c r="F50" i="1"/>
  <c r="F51" i="1"/>
  <c r="F57" i="1"/>
  <c r="F58" i="1"/>
  <c r="F32" i="1"/>
  <c r="F37" i="1"/>
  <c r="F53" i="1"/>
  <c r="F8" i="1"/>
  <c r="F47" i="1"/>
  <c r="F33" i="1"/>
  <c r="F20" i="1"/>
  <c r="F35" i="1"/>
  <c r="F46" i="1"/>
  <c r="F18" i="1"/>
  <c r="F30" i="1"/>
  <c r="F43" i="1"/>
  <c r="F15" i="1"/>
  <c r="F54" i="1"/>
  <c r="F42" i="1"/>
  <c r="F55" i="1"/>
  <c r="F39" i="1"/>
  <c r="F25" i="1"/>
  <c r="F41" i="1"/>
  <c r="F49" i="1"/>
  <c r="F7" i="1"/>
  <c r="F12" i="1"/>
  <c r="F52" i="1"/>
  <c r="F44" i="1"/>
  <c r="F36" i="1"/>
  <c r="F26" i="1"/>
  <c r="F16" i="1"/>
  <c r="F6" i="1"/>
  <c r="F56" i="1"/>
  <c r="F48" i="1"/>
  <c r="F40" i="1"/>
  <c r="F31" i="1"/>
  <c r="F21" i="1"/>
  <c r="E34" i="1"/>
  <c r="G34" i="1" s="1"/>
  <c r="E29" i="1"/>
  <c r="G29" i="1" s="1"/>
  <c r="E24" i="1"/>
  <c r="G24" i="1" s="1"/>
  <c r="E19" i="1"/>
  <c r="G19" i="1" s="1"/>
  <c r="E14" i="1"/>
  <c r="E9" i="1"/>
  <c r="Y8" i="1"/>
  <c r="X8" i="1"/>
  <c r="Z8" i="1" s="1"/>
  <c r="E5" i="1"/>
  <c r="E6" i="1"/>
  <c r="E7" i="1"/>
  <c r="E8" i="1"/>
  <c r="E10" i="1"/>
  <c r="E11" i="1"/>
  <c r="E12" i="1"/>
  <c r="E13" i="1"/>
  <c r="E15" i="1"/>
  <c r="E16" i="1"/>
  <c r="E17" i="1"/>
  <c r="E18" i="1"/>
  <c r="E20" i="1"/>
  <c r="E21" i="1"/>
  <c r="E22" i="1"/>
  <c r="E23" i="1"/>
  <c r="E25" i="1"/>
  <c r="E26" i="1"/>
  <c r="E27" i="1"/>
  <c r="E28" i="1"/>
  <c r="E30" i="1"/>
  <c r="E31" i="1"/>
  <c r="E32" i="1"/>
  <c r="E33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Q17" i="1"/>
  <c r="O17" i="1"/>
  <c r="P17" i="1"/>
  <c r="K17" i="1"/>
  <c r="G9" i="1" l="1"/>
  <c r="G14" i="1"/>
  <c r="E59" i="1"/>
  <c r="X9" i="1"/>
  <c r="G32" i="1"/>
  <c r="G37" i="1"/>
  <c r="G53" i="1"/>
  <c r="G8" i="1"/>
  <c r="G20" i="1"/>
  <c r="G5" i="1"/>
  <c r="G35" i="1"/>
  <c r="G46" i="1"/>
  <c r="G18" i="1"/>
  <c r="G30" i="1"/>
  <c r="G43" i="1"/>
  <c r="G15" i="1"/>
  <c r="G54" i="1"/>
  <c r="G42" i="1"/>
  <c r="G55" i="1"/>
  <c r="G39" i="1"/>
  <c r="G25" i="1"/>
  <c r="G41" i="1"/>
  <c r="G49" i="1"/>
  <c r="G7" i="1"/>
  <c r="G12" i="1"/>
  <c r="G52" i="1"/>
  <c r="G44" i="1"/>
  <c r="G36" i="1"/>
  <c r="G26" i="1"/>
  <c r="G16" i="1"/>
  <c r="G6" i="1"/>
  <c r="G56" i="1"/>
  <c r="G48" i="1"/>
  <c r="G40" i="1"/>
  <c r="G31" i="1"/>
  <c r="G21" i="1"/>
  <c r="G13" i="1"/>
  <c r="G11" i="1"/>
  <c r="G47" i="1"/>
  <c r="G57" i="1"/>
  <c r="G33" i="1"/>
  <c r="G58" i="1"/>
  <c r="G27" i="1"/>
  <c r="G17" i="1"/>
  <c r="G22" i="1"/>
  <c r="G28" i="1"/>
  <c r="G45" i="1"/>
  <c r="G23" i="1"/>
  <c r="G50" i="1"/>
  <c r="G38" i="1"/>
  <c r="G51" i="1"/>
  <c r="G10" i="1"/>
  <c r="L14" i="1" l="1"/>
  <c r="L6" i="1"/>
  <c r="L12" i="1"/>
  <c r="L13" i="1"/>
  <c r="L16" i="1"/>
  <c r="L15" i="1"/>
  <c r="L5" i="1"/>
  <c r="L9" i="1"/>
  <c r="L8" i="1"/>
  <c r="L7" i="1"/>
  <c r="L11" i="1"/>
  <c r="L10" i="1"/>
  <c r="G59" i="1"/>
  <c r="L17" i="1" l="1"/>
</calcChain>
</file>

<file path=xl/sharedStrings.xml><?xml version="1.0" encoding="utf-8"?>
<sst xmlns="http://schemas.openxmlformats.org/spreadsheetml/2006/main" count="256" uniqueCount="76">
  <si>
    <t>Year</t>
  </si>
  <si>
    <t>Month</t>
  </si>
  <si>
    <t>SBU</t>
  </si>
  <si>
    <t>Consulting</t>
  </si>
  <si>
    <t>Ressource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</si>
  <si>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</si>
  <si>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</si>
  <si>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</si>
  <si>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</si>
  <si>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</si>
  <si>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</si>
  <si>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</si>
  <si>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</si>
  <si>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</si>
  <si>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</si>
  <si>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</si>
  <si>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GL</t>
  </si>
  <si>
    <t>DS</t>
  </si>
  <si>
    <t>ML</t>
  </si>
  <si>
    <t>MS</t>
  </si>
  <si>
    <t>Avg. Rate</t>
  </si>
  <si>
    <t>Total</t>
  </si>
  <si>
    <t>Budget hours</t>
  </si>
  <si>
    <t>Budget DKK</t>
  </si>
  <si>
    <t>Working days</t>
  </si>
  <si>
    <t>January</t>
  </si>
  <si>
    <t>Type 1</t>
  </si>
  <si>
    <t>Type 2</t>
  </si>
  <si>
    <t>Calc.</t>
  </si>
  <si>
    <t>Initials</t>
  </si>
  <si>
    <t>Avg. rate/hour [DKK]</t>
  </si>
  <si>
    <t>Name</t>
  </si>
  <si>
    <t>Dennis Stokholm</t>
  </si>
  <si>
    <t>Morten Schaarup</t>
  </si>
  <si>
    <t>Michael N. Lauridsen</t>
  </si>
  <si>
    <t>Gergely Lippai</t>
  </si>
  <si>
    <t>Total budget</t>
  </si>
  <si>
    <t>Jan</t>
  </si>
  <si>
    <t>Special dates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</si>
  <si>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</si>
  <si>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</si>
  <si>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</si>
  <si>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</si>
  <si>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</si>
  <si>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</si>
  <si>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</si>
  <si>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</si>
  <si>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</si>
  <si>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</si>
  <si>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Date</t>
  </si>
  <si>
    <t>Description</t>
  </si>
  <si>
    <t>Første maj</t>
  </si>
  <si>
    <t>Grundlovsdag</t>
  </si>
  <si>
    <t>Juleaften</t>
  </si>
  <si>
    <t>Nytårsaften</t>
  </si>
  <si>
    <t>Impact</t>
  </si>
  <si>
    <t>None</t>
  </si>
  <si>
    <t>Half day off</t>
  </si>
  <si>
    <t>Office closed</t>
  </si>
  <si>
    <t>Hours/day</t>
  </si>
  <si>
    <t>Utilization target</t>
  </si>
  <si>
    <t>Budget breakdown</t>
  </si>
  <si>
    <t>Resources (Rates and utilization)</t>
  </si>
  <si>
    <t>Settings / factors / calculations</t>
  </si>
  <si>
    <t>Definitions and budget summary</t>
  </si>
  <si>
    <t>Thomas Magnussen</t>
  </si>
  <si>
    <t>TM</t>
  </si>
  <si>
    <t>Type 3</t>
  </si>
  <si>
    <t>Month names (long + short form), working days and summarized monthy budget</t>
  </si>
  <si>
    <t>Consultants: Names, initials, average hourly rate and utilization target (no. of hours that can be invoiced).</t>
  </si>
  <si>
    <t>Special dates that may be relevant to show as context (nice-to-have)</t>
  </si>
  <si>
    <t>Data used to calculate the budget numbers</t>
  </si>
  <si>
    <t>Budget format that should be relatively easy to convert to JSON and load into the code.</t>
  </si>
  <si>
    <t>BI</t>
  </si>
  <si>
    <t>Month (Long form)</t>
  </si>
  <si>
    <t>Month( Short 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</si>
</sst>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1" fillId="4" borderId="0" xfId="0" applyFont="1" applyFill="1"/>
    <xf numFmtId="0" fontId="3" fillId="5" borderId="0" xfId="0" applyFont="1" applyFill="1"/>
    <xf numFmtId="0" fontId="4" fillId="5" borderId="0" xfId="0" applyFont="1" applyFill="1"/>
    <xf numFmtId="14" fontId="0" fillId="0" borderId="0" xfId="0" applyNumberFormat="1"/>
    <xf numFmtId="0" fontId="6" fillId="2" borderId="0" xfId="0" applyFont="1" applyFill="1"/>
    <xf numFmtId="9" fontId="5" fillId="2" borderId="0" xfId="0" applyNumberFormat="1" applyFont="1" applyFill="1"/>
    <xf numFmtId="0" fontId="5" fillId="2" borderId="0" xfId="0" applyFont="1" applyFill="1"/>
    <xf numFmtId="2" fontId="6" fillId="3" borderId="0" xfId="0" applyNumberFormat="1" applyFont="1" applyFill="1"/>
    <xf numFmtId="9" fontId="0" fillId="0" borderId="0" xfId="0" applyNumberFormat="1"/>
    <xf numFmtId="9" fontId="1" fillId="0" borderId="0" xfId="0" applyNumberFormat="1" applyFont="1"/>
    <xf numFmtId="2" fontId="0" fillId="3" borderId="0" xfId="0" applyNumberFormat="1" applyFill="1"/>
    <xf numFmtId="0" fontId="0" fillId="3" borderId="0" xfId="0" applyFill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</cellXfs>
  <cellStyles count="1">
    <cellStyle name="Normal" xfId="0" builtinId="0"/>
  </cellStyles>
  <dxfs count="16">
    <dxf>
      <numFmt numFmtId="3" formatCode="#,##0"/>
    </dxf>
    <dxf>
      <numFmt numFmtId="19" formatCode="dd/mm/yyyy"/>
    </dxf>
    <dxf>
      <numFmt numFmtId="3" formatCode="#,##0"/>
    </dxf>
    <dxf>
      <numFmt numFmtId="13" formatCode="0%"/>
    </dxf>
    <dxf>
      <numFmt numFmtId="13" formatCode="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9FE31-F222-4AE4-BC54-8666D66A587B}" name="Table1" displayName="Table1" ref="A4:G59" totalsRowCount="1" headerRowDxfId="15">
  <autoFilter ref="A4:G58" xr:uid="{6F99FE31-F222-4AE4-BC54-8666D66A587B}"/>
  <tableColumns count="7">
    <tableColumn id="1" xr3:uid="{C8B12F4D-F3DD-4E90-8D57-8EB132C54767}" name="Year" totalsRowLabel="Total"/>
    <tableColumn id="2" xr3:uid="{1B9B8C72-5B9D-44E3-977E-AA4F1769304F}" name="Month"/>
    <tableColumn id="3" xr3:uid="{4E08D64C-07A2-417D-BCAD-CD97669C0C45}" name="SBU"/>
    <tableColumn id="4" xr3:uid="{46BE518A-E2CB-48B3-8A4D-EACC02C6AFAC}" name="Ressource"/>
    <tableColumn id="10" xr3:uid="{E036B238-2030-4783-A2D4-FAAC49A5BD12}" name="Budget hours" totalsRowFunction="sum" dataDxfId="14" totalsRowDxfId="13">
      <calculatedColumnFormula>((VLOOKUP(Table1[[#This Row],[Month]],Table3[[Month (Long form)]:[Working days]],3,FALSE))*$X$4)*VLOOKUP(Table1[[#This Row],[Ressource]],Table2[[Initials]:[Utilization target]],3,FALSE)</calculatedColumnFormula>
    </tableColumn>
    <tableColumn id="9" xr3:uid="{AE7252ED-8A8F-4C0F-AD60-CC03284BBF51}" name="Avg. Rate" dataDxfId="12">
      <calculatedColumnFormula>VLOOKUP(Table1[[#This Row],[Ressource]],$O$5:$P$16,2,FALSE)</calculatedColumnFormula>
    </tableColumn>
    <tableColumn id="5" xr3:uid="{B5AD983E-2C68-4C51-996C-D40E348B2BC8}" name="Budget DKK" totalsRowFunction="sum" dataDxfId="11" totalsRowDxfId="10">
      <calculatedColumnFormula>Table1[[#This Row],[Budget hours]]*Table1[[#This Row],[Avg. Rate]]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BBFB8-400E-4C5C-973F-93982F5F43D7}" name="Table2" displayName="Table2" ref="N4:Q17" totalsRowCount="1" headerRowDxfId="9" dataDxfId="8">
  <autoFilter ref="N4:Q16" xr:uid="{9BEBBFB8-400E-4C5C-973F-93982F5F43D7}"/>
  <tableColumns count="4">
    <tableColumn id="1" xr3:uid="{F02E3A44-5A39-43D4-9347-4342156BF921}" name="Name" totalsRowLabel="Total" dataDxfId="7"/>
    <tableColumn id="2" xr3:uid="{B4BC6AAA-B4DE-4941-8A08-65148305B04E}" name="Initials" totalsRowFunction="count" dataDxfId="6"/>
    <tableColumn id="3" xr3:uid="{32487FBD-3994-404E-BA66-298690B5F42C}" name="Avg. rate/hour [DKK]" totalsRowFunction="average" dataDxfId="5"/>
    <tableColumn id="5" xr3:uid="{649BBF4B-1BC3-4CE1-A807-970A402EDB66}" name="Utilization target" totalsRowFunction="average" dataDxfId="4" totalsRow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F40F6F-2649-41F9-9B07-E25B5C3DAF1B}" name="Table3" displayName="Table3" ref="I4:L17" totalsRowCount="1">
  <autoFilter ref="I4:L16" xr:uid="{09F40F6F-2649-41F9-9B07-E25B5C3DAF1B}"/>
  <tableColumns count="4">
    <tableColumn id="1" xr3:uid="{50263B21-327F-4013-92B9-730583308638}" name="Month (Long form)" totalsRowLabel="Total"/>
    <tableColumn id="2" xr3:uid="{9528370C-DDB1-492A-B461-943EF29D33D1}" name="Month( Short form)"/>
    <tableColumn id="3" xr3:uid="{BC08776D-853C-44D5-BB5B-8B7F9B13E671}" name="Working days" totalsRowFunction="sum"/>
    <tableColumn id="5" xr3:uid="{9769B8AB-8065-4BB1-9B73-B6CE3BD3E0D2}" name="Total budget" totalsRowFunction="sum" dataDxfId="2" totalsRowDxfId="0">
      <calculatedColumnFormula>SUMIF(Table1[Month],Table3[[#This Row],[Month (Long form)]],Table1[Budget DKK])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8F0372-7FD0-429F-B86F-89ABCED6A01A}" name="Table4" displayName="Table4" ref="S4:U17" totalsRowShown="0">
  <autoFilter ref="S4:U17" xr:uid="{C58F0372-7FD0-429F-B86F-89ABCED6A01A}"/>
  <tableColumns count="3">
    <tableColumn id="1" xr3:uid="{CA63519B-4A02-4B4A-9EEE-143BBB9C99A4}" name="Date" dataDxfId="1"/>
    <tableColumn id="2" xr3:uid="{1396E64D-58E2-4F7D-B0BB-F0F4C642232E}" name="Description"/>
    <tableColumn id="3" xr3:uid="{0B31CD60-2766-4D5C-845F-886C8D5343FC}" name="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D81D-ADC9-414C-B3B4-232B57BC210E}">
  <dimension ref="A1:Z59"/>
  <sheetViews>
    <sheetView tabSelected="1" zoomScale="115" zoomScaleNormal="115" workbookViewId="0">
      <selection activeCell="I22" sqref="I22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9.44140625" bestFit="1" customWidth="1"/>
    <col min="4" max="4" width="11.6640625" bestFit="1" customWidth="1"/>
    <col min="5" max="5" width="14.33203125" bestFit="1" customWidth="1"/>
    <col min="6" max="6" width="11.6640625" customWidth="1"/>
    <col min="7" max="7" width="14.109375" customWidth="1"/>
    <col min="9" max="9" width="17.77734375" customWidth="1"/>
    <col min="10" max="10" width="18.77734375" bestFit="1" customWidth="1"/>
    <col min="11" max="11" width="14.44140625" customWidth="1"/>
    <col min="12" max="12" width="13.33203125" customWidth="1"/>
    <col min="14" max="14" width="20.33203125" bestFit="1" customWidth="1"/>
    <col min="16" max="16" width="20.33203125" customWidth="1"/>
    <col min="17" max="17" width="18.33203125" bestFit="1" customWidth="1"/>
    <col min="19" max="19" width="13.109375" bestFit="1" customWidth="1"/>
    <col min="20" max="20" width="13.88671875" bestFit="1" customWidth="1"/>
    <col min="21" max="21" width="12.44140625" bestFit="1" customWidth="1"/>
    <col min="23" max="23" width="10.44140625" customWidth="1"/>
  </cols>
  <sheetData>
    <row r="1" spans="1:26" x14ac:dyDescent="0.3">
      <c r="A1" s="5" t="s">
        <v>61</v>
      </c>
      <c r="B1" s="6"/>
      <c r="C1" s="6"/>
      <c r="D1" s="6"/>
      <c r="E1" s="6"/>
      <c r="F1" s="6"/>
      <c r="G1" s="6"/>
      <c r="I1" s="5" t="s">
        <v>64</v>
      </c>
      <c r="J1" s="6"/>
      <c r="K1" s="6"/>
      <c r="L1" s="6"/>
      <c r="N1" s="5" t="s">
        <v>62</v>
      </c>
      <c r="O1" s="6"/>
      <c r="P1" s="6"/>
      <c r="Q1" s="6"/>
      <c r="S1" s="5" t="s">
        <v>38</v>
      </c>
      <c r="T1" s="6"/>
      <c r="U1" s="6"/>
      <c r="W1" s="5" t="s">
        <v>63</v>
      </c>
      <c r="X1" s="6"/>
      <c r="Y1" s="6"/>
      <c r="Z1" s="6"/>
    </row>
    <row r="2" spans="1:26" x14ac:dyDescent="0.3">
      <c r="A2" s="18" t="s">
        <v>72</v>
      </c>
      <c r="I2" s="18" t="s">
        <v>68</v>
      </c>
      <c r="N2" s="18" t="s">
        <v>69</v>
      </c>
      <c r="S2" s="18" t="s">
        <v>70</v>
      </c>
      <c r="W2" s="18" t="s">
        <v>71</v>
      </c>
    </row>
    <row r="3" spans="1:26" x14ac:dyDescent="0.3">
      <c r="A3" s="18" t="s">
        <v>73</v>
      </c>
      <c r="B3" s="18" t="s">
        <v>73</v>
      </c>
      <c r="C3" s="18" t="s">
        <v>73</v>
      </c>
      <c r="D3" s="18" t="s">
        <v>73</v>
      </c>
      <c r="E3" s="18" t="s">
        <v>73</v>
      </c>
      <c r="F3" s="18" t="s">
        <v>73</v>
      </c>
      <c r="G3" s="18" t="s">
        <v>73</v>
      </c>
      <c r="I3" s="18" t="s">
        <v>73</v>
      </c>
      <c r="J3" s="18" t="s">
        <v>73</v>
      </c>
      <c r="K3" s="18" t="s">
        <v>73</v>
      </c>
      <c r="N3" s="18" t="s">
        <v>73</v>
      </c>
      <c r="O3" s="18" t="s">
        <v>73</v>
      </c>
      <c r="Q3" s="18" t="s">
        <v>73</v>
      </c>
      <c r="S3" s="18" t="s">
        <v>73</v>
      </c>
      <c r="T3" s="18" t="s">
        <v>73</v>
      </c>
      <c r="U3" s="18" t="s">
        <v>73</v>
      </c>
      <c r="W3" s="18"/>
    </row>
    <row r="4" spans="1:26" x14ac:dyDescent="0.3">
      <c r="A4" s="1" t="s">
        <v>0</v>
      </c>
      <c r="B4" s="1" t="s">
        <v>1</v>
      </c>
      <c r="C4" s="1" t="s">
        <v>2</v>
      </c>
      <c r="D4" s="1" t="s">
        <v>4</v>
      </c>
      <c r="E4" s="1" t="s">
        <v>22</v>
      </c>
      <c r="F4" s="1" t="s">
        <v>20</v>
      </c>
      <c r="G4" s="1" t="s">
        <v>23</v>
      </c>
      <c r="I4" t="s">
        <v>74</v>
      </c>
      <c r="J4" t="s">
        <v>75</v>
      </c>
      <c r="K4" t="s">
        <v>24</v>
      </c>
      <c r="L4" t="s">
        <v>36</v>
      </c>
      <c r="N4" s="1" t="s">
        <v>31</v>
      </c>
      <c r="O4" s="1" t="s">
        <v>29</v>
      </c>
      <c r="P4" s="1" t="s">
        <v>30</v>
      </c>
      <c r="Q4" s="1" t="s">
        <v>60</v>
      </c>
      <c r="S4" t="s">
        <v>49</v>
      </c>
      <c r="T4" t="s">
        <v>50</v>
      </c>
      <c r="U4" t="s">
        <v>55</v>
      </c>
      <c r="W4" s="1" t="s">
        <v>59</v>
      </c>
      <c r="X4" s="4">
        <v>7.4</v>
      </c>
    </row>
    <row r="5" spans="1:26" x14ac:dyDescent="0.3">
      <c r="A5">
        <v>2026</v>
      </c>
      <c r="B5" s="1" t="s">
        <v>25</v>
      </c>
      <c r="C5" t="s">
        <v>3</v>
      </c>
      <c r="D5" t="s">
        <v>17</v>
      </c>
      <c r="E5" s="3">
        <f>((VLOOKUP(Table1[[#This Row],[Month]],Table3[[Month (Long form)]:[Working days]],3,FALSE))*$X$4)*VLOOKUP(Table1[[#This Row],[Ressource]],Table2[[Initials]:[Utilization target]],3,FALSE)</f>
        <v>132.09</v>
      </c>
      <c r="F5" s="2">
        <f>VLOOKUP(Table1[[#This Row],[Ressource]],$O$5:$P$16,2,FALSE)</f>
        <v>900</v>
      </c>
      <c r="G5" s="2">
        <f>Table1[[#This Row],[Budget hours]]*Table1[[#This Row],[Avg. Rate]]</f>
        <v>118881</v>
      </c>
      <c r="I5" t="s">
        <v>25</v>
      </c>
      <c r="J5" t="s">
        <v>37</v>
      </c>
      <c r="K5">
        <v>21</v>
      </c>
      <c r="L5" s="2">
        <f>SUMIF(Table1[Month],Table3[[#This Row],[Month (Long form)]],Table1[Budget DKK])</f>
        <v>569230.19999999995</v>
      </c>
      <c r="N5" t="s">
        <v>32</v>
      </c>
      <c r="O5" t="s">
        <v>17</v>
      </c>
      <c r="P5">
        <v>900</v>
      </c>
      <c r="Q5" s="12">
        <v>0.85</v>
      </c>
      <c r="S5" s="7">
        <v>46143</v>
      </c>
      <c r="T5" t="s">
        <v>51</v>
      </c>
      <c r="U5" t="s">
        <v>56</v>
      </c>
    </row>
    <row r="6" spans="1:26" x14ac:dyDescent="0.3">
      <c r="A6">
        <v>2026</v>
      </c>
      <c r="B6" s="1" t="s">
        <v>25</v>
      </c>
      <c r="C6" t="s">
        <v>3</v>
      </c>
      <c r="D6" t="s">
        <v>19</v>
      </c>
      <c r="E6" s="3">
        <f>((VLOOKUP(Table1[[#This Row],[Month]],Table3[[Month (Long form)]:[Working days]],3,FALSE))*$X$4)*VLOOKUP(Table1[[#This Row],[Ressource]],Table2[[Initials]:[Utilization target]],3,FALSE)</f>
        <v>132.09</v>
      </c>
      <c r="F6" s="2">
        <f>VLOOKUP(Table1[[#This Row],[Ressource]],$O$5:$P$16,2,FALSE)</f>
        <v>900</v>
      </c>
      <c r="G6" s="2">
        <f>Table1[[#This Row],[Budget hours]]*Table1[[#This Row],[Avg. Rate]]</f>
        <v>118881</v>
      </c>
      <c r="I6" t="s">
        <v>5</v>
      </c>
      <c r="J6" t="s">
        <v>39</v>
      </c>
      <c r="K6">
        <v>20</v>
      </c>
      <c r="L6" s="2">
        <f>SUMIF(Table1[Month],Table3[[#This Row],[Month (Long form)]],Table1[Budget DKK])</f>
        <v>542124</v>
      </c>
      <c r="N6" t="s">
        <v>33</v>
      </c>
      <c r="O6" t="s">
        <v>19</v>
      </c>
      <c r="P6">
        <v>900</v>
      </c>
      <c r="Q6" s="12">
        <v>0.85</v>
      </c>
      <c r="S6" s="7">
        <v>46178</v>
      </c>
      <c r="T6" t="s">
        <v>52</v>
      </c>
      <c r="U6" t="s">
        <v>57</v>
      </c>
      <c r="W6" s="16" t="s">
        <v>28</v>
      </c>
      <c r="X6" s="17" t="s">
        <v>26</v>
      </c>
      <c r="Y6" s="17" t="s">
        <v>27</v>
      </c>
      <c r="Z6" s="17" t="s">
        <v>67</v>
      </c>
    </row>
    <row r="7" spans="1:26" x14ac:dyDescent="0.3">
      <c r="A7">
        <v>2026</v>
      </c>
      <c r="B7" s="1" t="s">
        <v>25</v>
      </c>
      <c r="C7" t="s">
        <v>3</v>
      </c>
      <c r="D7" t="s">
        <v>18</v>
      </c>
      <c r="E7" s="3">
        <f>((VLOOKUP(Table1[[#This Row],[Month]],Table3[[Month (Long form)]:[Working days]],3,FALSE))*$X$4)*VLOOKUP(Table1[[#This Row],[Ressource]],Table2[[Initials]:[Utilization target]],3,FALSE)</f>
        <v>132.09</v>
      </c>
      <c r="F7" s="2">
        <f>VLOOKUP(Table1[[#This Row],[Ressource]],$O$5:$P$16,2,FALSE)</f>
        <v>900</v>
      </c>
      <c r="G7" s="2">
        <f>Table1[[#This Row],[Budget hours]]*Table1[[#This Row],[Avg. Rate]]</f>
        <v>118881</v>
      </c>
      <c r="I7" t="s">
        <v>6</v>
      </c>
      <c r="J7" t="s">
        <v>40</v>
      </c>
      <c r="K7">
        <v>22</v>
      </c>
      <c r="L7" s="2">
        <f>SUMIF(Table1[Month],Table3[[#This Row],[Month (Long form)]],Table1[Budget DKK])</f>
        <v>596336.4</v>
      </c>
      <c r="N7" t="s">
        <v>34</v>
      </c>
      <c r="O7" t="s">
        <v>18</v>
      </c>
      <c r="P7">
        <v>900</v>
      </c>
      <c r="Q7" s="12">
        <v>0.85</v>
      </c>
      <c r="S7" s="7">
        <v>46380</v>
      </c>
      <c r="T7" t="s">
        <v>53</v>
      </c>
      <c r="U7" t="s">
        <v>58</v>
      </c>
      <c r="W7" s="8"/>
      <c r="X7" s="9">
        <v>0.67</v>
      </c>
      <c r="Y7" s="9">
        <v>0.85</v>
      </c>
      <c r="Z7" s="9">
        <v>0.9</v>
      </c>
    </row>
    <row r="8" spans="1:26" x14ac:dyDescent="0.3">
      <c r="A8">
        <v>2026</v>
      </c>
      <c r="B8" s="1" t="s">
        <v>25</v>
      </c>
      <c r="C8" t="s">
        <v>3</v>
      </c>
      <c r="D8" t="s">
        <v>16</v>
      </c>
      <c r="E8" s="3">
        <f>((VLOOKUP(Table1[[#This Row],[Month]],Table3[[Month (Long form)]:[Working days]],3,FALSE))*$X$4)*VLOOKUP(Table1[[#This Row],[Ressource]],Table2[[Initials]:[Utilization target]],3,FALSE)</f>
        <v>139.86000000000001</v>
      </c>
      <c r="F8" s="2">
        <f>VLOOKUP(Table1[[#This Row],[Ressource]],$O$5:$P$16,2,FALSE)</f>
        <v>850</v>
      </c>
      <c r="G8" s="2">
        <f>Table1[[#This Row],[Budget hours]]*Table1[[#This Row],[Avg. Rate]]</f>
        <v>118881.00000000001</v>
      </c>
      <c r="I8" t="s">
        <v>7</v>
      </c>
      <c r="J8" t="s">
        <v>41</v>
      </c>
      <c r="K8">
        <v>19</v>
      </c>
      <c r="L8" s="2">
        <f>SUMIF(Table1[Month],Table3[[#This Row],[Month (Long form)]],Table1[Budget DKK])</f>
        <v>515017.79999999993</v>
      </c>
      <c r="N8" t="s">
        <v>35</v>
      </c>
      <c r="O8" t="s">
        <v>16</v>
      </c>
      <c r="P8">
        <v>850</v>
      </c>
      <c r="Q8" s="12">
        <v>0.9</v>
      </c>
      <c r="S8" s="7">
        <v>46387</v>
      </c>
      <c r="T8" t="s">
        <v>54</v>
      </c>
      <c r="U8" t="s">
        <v>58</v>
      </c>
      <c r="W8" s="10">
        <v>160.33000000000001</v>
      </c>
      <c r="X8" s="11">
        <f>ROUNDDOWN(W8*X7,0)</f>
        <v>107</v>
      </c>
      <c r="Y8" s="11">
        <f>ROUNDDOWN(W8*Y7,0)</f>
        <v>136</v>
      </c>
      <c r="Z8" s="11">
        <f>ROUNDDOWN(X8*Z7,0)</f>
        <v>96</v>
      </c>
    </row>
    <row r="9" spans="1:26" x14ac:dyDescent="0.3">
      <c r="A9">
        <v>2026</v>
      </c>
      <c r="B9" s="1" t="s">
        <v>25</v>
      </c>
      <c r="C9" t="s">
        <v>3</v>
      </c>
      <c r="D9" t="s">
        <v>66</v>
      </c>
      <c r="E9" s="3">
        <f>((VLOOKUP(Table1[[#This Row],[Month]],Table3[[Month (Long form)]:[Working days]],3,FALSE))*$X$4)*VLOOKUP(Table1[[#This Row],[Ressource]],Table2[[Initials]:[Utilization target]],3,FALSE)</f>
        <v>104.11800000000001</v>
      </c>
      <c r="F9" s="2">
        <f>VLOOKUP(Table1[[#This Row],[Ressource]],$O$5:$P$16,2,FALSE)</f>
        <v>900</v>
      </c>
      <c r="G9" s="2">
        <f>Table1[[#This Row],[Budget hours]]*Table1[[#This Row],[Avg. Rate]]</f>
        <v>93706.200000000012</v>
      </c>
      <c r="I9" t="s">
        <v>8</v>
      </c>
      <c r="J9" t="s">
        <v>8</v>
      </c>
      <c r="K9">
        <v>19</v>
      </c>
      <c r="L9" s="2">
        <f>SUMIF(Table1[Month],Table3[[#This Row],[Month (Long form)]],Table1[Budget DKK])</f>
        <v>515017.79999999993</v>
      </c>
      <c r="N9" t="s">
        <v>65</v>
      </c>
      <c r="O9" t="s">
        <v>66</v>
      </c>
      <c r="P9">
        <v>900</v>
      </c>
      <c r="Q9" s="12">
        <v>0.67</v>
      </c>
      <c r="S9" s="7"/>
      <c r="W9" s="10">
        <v>4.5</v>
      </c>
      <c r="X9" s="14">
        <f>X8/W9</f>
        <v>23.777777777777779</v>
      </c>
      <c r="Y9" s="15"/>
      <c r="Z9" s="15"/>
    </row>
    <row r="10" spans="1:26" x14ac:dyDescent="0.3">
      <c r="A10">
        <v>2026</v>
      </c>
      <c r="B10" t="s">
        <v>5</v>
      </c>
      <c r="C10" t="s">
        <v>3</v>
      </c>
      <c r="D10" t="s">
        <v>17</v>
      </c>
      <c r="E10" s="3">
        <f>((VLOOKUP(Table1[[#This Row],[Month]],Table3[[Month (Long form)]:[Working days]],3,FALSE))*$X$4)*VLOOKUP(Table1[[#This Row],[Ressource]],Table2[[Initials]:[Utilization target]],3,FALSE)</f>
        <v>125.8</v>
      </c>
      <c r="F10" s="2">
        <f>VLOOKUP(Table1[[#This Row],[Ressource]],$O$5:$P$16,2,FALSE)</f>
        <v>900</v>
      </c>
      <c r="G10" s="2">
        <f>Table1[[#This Row],[Budget hours]]*Table1[[#This Row],[Avg. Rate]]</f>
        <v>113220</v>
      </c>
      <c r="I10" t="s">
        <v>9</v>
      </c>
      <c r="J10" t="s">
        <v>42</v>
      </c>
      <c r="K10">
        <v>22</v>
      </c>
      <c r="L10" s="2">
        <f>SUMIF(Table1[Month],Table3[[#This Row],[Month (Long form)]],Table1[Budget DKK])</f>
        <v>596336.4</v>
      </c>
      <c r="Q10" s="12"/>
      <c r="S10" s="7"/>
    </row>
    <row r="11" spans="1:26" x14ac:dyDescent="0.3">
      <c r="A11">
        <v>2026</v>
      </c>
      <c r="B11" t="s">
        <v>5</v>
      </c>
      <c r="C11" t="s">
        <v>3</v>
      </c>
      <c r="D11" t="s">
        <v>19</v>
      </c>
      <c r="E11" s="3">
        <f>((VLOOKUP(Table1[[#This Row],[Month]],Table3[[Month (Long form)]:[Working days]],3,FALSE))*$X$4)*VLOOKUP(Table1[[#This Row],[Ressource]],Table2[[Initials]:[Utilization target]],3,FALSE)</f>
        <v>125.8</v>
      </c>
      <c r="F11" s="2">
        <f>VLOOKUP(Table1[[#This Row],[Ressource]],$O$5:$P$16,2,FALSE)</f>
        <v>900</v>
      </c>
      <c r="G11" s="2">
        <f>Table1[[#This Row],[Budget hours]]*Table1[[#This Row],[Avg. Rate]]</f>
        <v>113220</v>
      </c>
      <c r="I11" t="s">
        <v>10</v>
      </c>
      <c r="J11" t="s">
        <v>43</v>
      </c>
      <c r="K11">
        <v>23</v>
      </c>
      <c r="L11" s="2">
        <f>SUMIF(Table1[Month],Table3[[#This Row],[Month (Long form)]],Table1[Budget DKK])</f>
        <v>520812.00000000006</v>
      </c>
      <c r="Q11" s="12"/>
      <c r="S11" s="7"/>
    </row>
    <row r="12" spans="1:26" x14ac:dyDescent="0.3">
      <c r="A12">
        <v>2026</v>
      </c>
      <c r="B12" t="s">
        <v>5</v>
      </c>
      <c r="C12" t="s">
        <v>3</v>
      </c>
      <c r="D12" t="s">
        <v>18</v>
      </c>
      <c r="E12" s="3">
        <f>((VLOOKUP(Table1[[#This Row],[Month]],Table3[[Month (Long form)]:[Working days]],3,FALSE))*$X$4)*VLOOKUP(Table1[[#This Row],[Ressource]],Table2[[Initials]:[Utilization target]],3,FALSE)</f>
        <v>125.8</v>
      </c>
      <c r="F12" s="2">
        <f>VLOOKUP(Table1[[#This Row],[Ressource]],$O$5:$P$16,2,FALSE)</f>
        <v>900</v>
      </c>
      <c r="G12" s="2">
        <f>Table1[[#This Row],[Budget hours]]*Table1[[#This Row],[Avg. Rate]]</f>
        <v>113220</v>
      </c>
      <c r="I12" t="s">
        <v>11</v>
      </c>
      <c r="J12" t="s">
        <v>44</v>
      </c>
      <c r="K12">
        <v>21</v>
      </c>
      <c r="L12" s="2">
        <f>SUMIF(Table1[Month],Table3[[#This Row],[Month (Long form)]],Table1[Budget DKK])</f>
        <v>475524</v>
      </c>
      <c r="Q12" s="12"/>
      <c r="S12" s="7"/>
    </row>
    <row r="13" spans="1:26" x14ac:dyDescent="0.3">
      <c r="A13">
        <v>2026</v>
      </c>
      <c r="B13" t="s">
        <v>5</v>
      </c>
      <c r="C13" t="s">
        <v>3</v>
      </c>
      <c r="D13" t="s">
        <v>16</v>
      </c>
      <c r="E13" s="3">
        <f>((VLOOKUP(Table1[[#This Row],[Month]],Table3[[Month (Long form)]:[Working days]],3,FALSE))*$X$4)*VLOOKUP(Table1[[#This Row],[Ressource]],Table2[[Initials]:[Utilization target]],3,FALSE)</f>
        <v>133.20000000000002</v>
      </c>
      <c r="F13" s="2">
        <f>VLOOKUP(Table1[[#This Row],[Ressource]],$O$5:$P$16,2,FALSE)</f>
        <v>850</v>
      </c>
      <c r="G13" s="2">
        <f>Table1[[#This Row],[Budget hours]]*Table1[[#This Row],[Avg. Rate]]</f>
        <v>113220.00000000001</v>
      </c>
      <c r="I13" t="s">
        <v>12</v>
      </c>
      <c r="J13" t="s">
        <v>45</v>
      </c>
      <c r="K13">
        <v>22</v>
      </c>
      <c r="L13" s="2">
        <f>SUMIF(Table1[Month],Table3[[#This Row],[Month (Long form)]],Table1[Budget DKK])</f>
        <v>498168</v>
      </c>
      <c r="Q13" s="12"/>
      <c r="S13" s="7"/>
    </row>
    <row r="14" spans="1:26" x14ac:dyDescent="0.3">
      <c r="A14">
        <v>2026</v>
      </c>
      <c r="B14" t="s">
        <v>5</v>
      </c>
      <c r="C14" t="s">
        <v>3</v>
      </c>
      <c r="D14" t="s">
        <v>66</v>
      </c>
      <c r="E14" s="3">
        <f>((VLOOKUP(Table1[[#This Row],[Month]],Table3[[Month (Long form)]:[Working days]],3,FALSE))*$X$4)*VLOOKUP(Table1[[#This Row],[Ressource]],Table2[[Initials]:[Utilization target]],3,FALSE)</f>
        <v>99.160000000000011</v>
      </c>
      <c r="F14" s="2">
        <f>VLOOKUP(Table1[[#This Row],[Ressource]],$O$5:$P$16,2,FALSE)</f>
        <v>900</v>
      </c>
      <c r="G14" s="2">
        <f>Table1[[#This Row],[Budget hours]]*Table1[[#This Row],[Avg. Rate]]</f>
        <v>89244.000000000015</v>
      </c>
      <c r="I14" t="s">
        <v>13</v>
      </c>
      <c r="J14" t="s">
        <v>46</v>
      </c>
      <c r="K14">
        <v>22</v>
      </c>
      <c r="L14" s="2">
        <f>SUMIF(Table1[Month],Table3[[#This Row],[Month (Long form)]],Table1[Budget DKK])</f>
        <v>498168</v>
      </c>
      <c r="Q14" s="12"/>
      <c r="S14" s="7"/>
    </row>
    <row r="15" spans="1:26" x14ac:dyDescent="0.3">
      <c r="A15">
        <v>2026</v>
      </c>
      <c r="B15" s="1" t="s">
        <v>6</v>
      </c>
      <c r="C15" t="s">
        <v>3</v>
      </c>
      <c r="D15" t="s">
        <v>17</v>
      </c>
      <c r="E15" s="3">
        <f>((VLOOKUP(Table1[[#This Row],[Month]],Table3[[Month (Long form)]:[Working days]],3,FALSE))*$X$4)*VLOOKUP(Table1[[#This Row],[Ressource]],Table2[[Initials]:[Utilization target]],3,FALSE)</f>
        <v>138.38</v>
      </c>
      <c r="F15" s="2">
        <f>VLOOKUP(Table1[[#This Row],[Ressource]],$O$5:$P$16,2,FALSE)</f>
        <v>900</v>
      </c>
      <c r="G15" s="2">
        <f>Table1[[#This Row],[Budget hours]]*Table1[[#This Row],[Avg. Rate]]</f>
        <v>124542</v>
      </c>
      <c r="I15" t="s">
        <v>14</v>
      </c>
      <c r="J15" t="s">
        <v>47</v>
      </c>
      <c r="K15">
        <v>21</v>
      </c>
      <c r="L15" s="2">
        <f>SUMIF(Table1[Month],Table3[[#This Row],[Month (Long form)]],Table1[Budget DKK])</f>
        <v>475524</v>
      </c>
      <c r="Q15" s="12"/>
      <c r="S15" s="7"/>
    </row>
    <row r="16" spans="1:26" x14ac:dyDescent="0.3">
      <c r="A16">
        <v>2026</v>
      </c>
      <c r="B16" s="1" t="s">
        <v>6</v>
      </c>
      <c r="C16" t="s">
        <v>3</v>
      </c>
      <c r="D16" t="s">
        <v>19</v>
      </c>
      <c r="E16" s="3">
        <f>((VLOOKUP(Table1[[#This Row],[Month]],Table3[[Month (Long form)]:[Working days]],3,FALSE))*$X$4)*VLOOKUP(Table1[[#This Row],[Ressource]],Table2[[Initials]:[Utilization target]],3,FALSE)</f>
        <v>138.38</v>
      </c>
      <c r="F16" s="2">
        <f>VLOOKUP(Table1[[#This Row],[Ressource]],$O$5:$P$16,2,FALSE)</f>
        <v>900</v>
      </c>
      <c r="G16" s="2">
        <f>Table1[[#This Row],[Budget hours]]*Table1[[#This Row],[Avg. Rate]]</f>
        <v>124542</v>
      </c>
      <c r="I16" t="s">
        <v>15</v>
      </c>
      <c r="J16" t="s">
        <v>48</v>
      </c>
      <c r="K16">
        <v>22</v>
      </c>
      <c r="L16" s="2">
        <f>SUMIF(Table1[Month],Table3[[#This Row],[Month (Long form)]],Table1[Budget DKK])</f>
        <v>498168</v>
      </c>
      <c r="Q16" s="12"/>
      <c r="S16" s="7"/>
    </row>
    <row r="17" spans="1:19" x14ac:dyDescent="0.3">
      <c r="A17">
        <v>2026</v>
      </c>
      <c r="B17" s="1" t="s">
        <v>6</v>
      </c>
      <c r="C17" t="s">
        <v>3</v>
      </c>
      <c r="D17" t="s">
        <v>18</v>
      </c>
      <c r="E17" s="3">
        <f>((VLOOKUP(Table1[[#This Row],[Month]],Table3[[Month (Long form)]:[Working days]],3,FALSE))*$X$4)*VLOOKUP(Table1[[#This Row],[Ressource]],Table2[[Initials]:[Utilization target]],3,FALSE)</f>
        <v>138.38</v>
      </c>
      <c r="F17" s="2">
        <f>VLOOKUP(Table1[[#This Row],[Ressource]],$O$5:$P$16,2,FALSE)</f>
        <v>900</v>
      </c>
      <c r="G17" s="2">
        <f>Table1[[#This Row],[Budget hours]]*Table1[[#This Row],[Avg. Rate]]</f>
        <v>124542</v>
      </c>
      <c r="I17" t="s">
        <v>21</v>
      </c>
      <c r="K17">
        <f>SUBTOTAL(109,Table3[Working days])</f>
        <v>254</v>
      </c>
      <c r="L17" s="2">
        <f>SUBTOTAL(109,Table3[Total budget])</f>
        <v>6300426.5999999996</v>
      </c>
      <c r="N17" t="s">
        <v>21</v>
      </c>
      <c r="O17">
        <f>SUBTOTAL(103,Table2[Initials])</f>
        <v>5</v>
      </c>
      <c r="P17">
        <f>SUBTOTAL(101,Table2[Avg. rate/hour '[DKK']])</f>
        <v>890</v>
      </c>
      <c r="Q17" s="12">
        <f>SUBTOTAL(101,Table2[Utilization target])</f>
        <v>0.82400000000000007</v>
      </c>
      <c r="S17" s="7"/>
    </row>
    <row r="18" spans="1:19" x14ac:dyDescent="0.3">
      <c r="A18">
        <v>2026</v>
      </c>
      <c r="B18" s="1" t="s">
        <v>6</v>
      </c>
      <c r="C18" t="s">
        <v>3</v>
      </c>
      <c r="D18" t="s">
        <v>16</v>
      </c>
      <c r="E18" s="3">
        <f>((VLOOKUP(Table1[[#This Row],[Month]],Table3[[Month (Long form)]:[Working days]],3,FALSE))*$X$4)*VLOOKUP(Table1[[#This Row],[Ressource]],Table2[[Initials]:[Utilization target]],3,FALSE)</f>
        <v>146.52000000000001</v>
      </c>
      <c r="F18" s="2">
        <f>VLOOKUP(Table1[[#This Row],[Ressource]],$O$5:$P$16,2,FALSE)</f>
        <v>850</v>
      </c>
      <c r="G18" s="2">
        <f>Table1[[#This Row],[Budget hours]]*Table1[[#This Row],[Avg. Rate]]</f>
        <v>124542.00000000001</v>
      </c>
    </row>
    <row r="19" spans="1:19" x14ac:dyDescent="0.3">
      <c r="A19">
        <v>2026</v>
      </c>
      <c r="B19" s="1" t="s">
        <v>6</v>
      </c>
      <c r="C19" t="s">
        <v>3</v>
      </c>
      <c r="D19" t="s">
        <v>66</v>
      </c>
      <c r="E19" s="3">
        <f>((VLOOKUP(Table1[[#This Row],[Month]],Table3[[Month (Long form)]:[Working days]],3,FALSE))*$X$4)*VLOOKUP(Table1[[#This Row],[Ressource]],Table2[[Initials]:[Utilization target]],3,FALSE)</f>
        <v>109.07600000000001</v>
      </c>
      <c r="F19" s="2">
        <f>VLOOKUP(Table1[[#This Row],[Ressource]],$O$5:$P$16,2,FALSE)</f>
        <v>900</v>
      </c>
      <c r="G19" s="2">
        <f>Table1[[#This Row],[Budget hours]]*Table1[[#This Row],[Avg. Rate]]</f>
        <v>98168.400000000009</v>
      </c>
    </row>
    <row r="20" spans="1:19" x14ac:dyDescent="0.3">
      <c r="A20">
        <v>2026</v>
      </c>
      <c r="B20" t="s">
        <v>7</v>
      </c>
      <c r="C20" t="s">
        <v>3</v>
      </c>
      <c r="D20" t="s">
        <v>17</v>
      </c>
      <c r="E20" s="3">
        <f>((VLOOKUP(Table1[[#This Row],[Month]],Table3[[Month (Long form)]:[Working days]],3,FALSE))*$X$4)*VLOOKUP(Table1[[#This Row],[Ressource]],Table2[[Initials]:[Utilization target]],3,FALSE)</f>
        <v>119.50999999999999</v>
      </c>
      <c r="F20" s="2">
        <f>VLOOKUP(Table1[[#This Row],[Ressource]],$O$5:$P$16,2,FALSE)</f>
        <v>900</v>
      </c>
      <c r="G20" s="2">
        <f>Table1[[#This Row],[Budget hours]]*Table1[[#This Row],[Avg. Rate]]</f>
        <v>107558.99999999999</v>
      </c>
    </row>
    <row r="21" spans="1:19" x14ac:dyDescent="0.3">
      <c r="A21">
        <v>2026</v>
      </c>
      <c r="B21" t="s">
        <v>7</v>
      </c>
      <c r="C21" t="s">
        <v>3</v>
      </c>
      <c r="D21" t="s">
        <v>19</v>
      </c>
      <c r="E21" s="3">
        <f>((VLOOKUP(Table1[[#This Row],[Month]],Table3[[Month (Long form)]:[Working days]],3,FALSE))*$X$4)*VLOOKUP(Table1[[#This Row],[Ressource]],Table2[[Initials]:[Utilization target]],3,FALSE)</f>
        <v>119.50999999999999</v>
      </c>
      <c r="F21" s="2">
        <f>VLOOKUP(Table1[[#This Row],[Ressource]],$O$5:$P$16,2,FALSE)</f>
        <v>900</v>
      </c>
      <c r="G21" s="2">
        <f>Table1[[#This Row],[Budget hours]]*Table1[[#This Row],[Avg. Rate]]</f>
        <v>107558.99999999999</v>
      </c>
    </row>
    <row r="22" spans="1:19" x14ac:dyDescent="0.3">
      <c r="A22">
        <v>2026</v>
      </c>
      <c r="B22" t="s">
        <v>7</v>
      </c>
      <c r="C22" t="s">
        <v>3</v>
      </c>
      <c r="D22" t="s">
        <v>18</v>
      </c>
      <c r="E22" s="3">
        <f>((VLOOKUP(Table1[[#This Row],[Month]],Table3[[Month (Long form)]:[Working days]],3,FALSE))*$X$4)*VLOOKUP(Table1[[#This Row],[Ressource]],Table2[[Initials]:[Utilization target]],3,FALSE)</f>
        <v>119.50999999999999</v>
      </c>
      <c r="F22" s="2">
        <f>VLOOKUP(Table1[[#This Row],[Ressource]],$O$5:$P$16,2,FALSE)</f>
        <v>900</v>
      </c>
      <c r="G22" s="2">
        <f>Table1[[#This Row],[Budget hours]]*Table1[[#This Row],[Avg. Rate]]</f>
        <v>107558.99999999999</v>
      </c>
    </row>
    <row r="23" spans="1:19" x14ac:dyDescent="0.3">
      <c r="A23">
        <v>2026</v>
      </c>
      <c r="B23" t="s">
        <v>7</v>
      </c>
      <c r="C23" t="s">
        <v>3</v>
      </c>
      <c r="D23" t="s">
        <v>16</v>
      </c>
      <c r="E23" s="3">
        <f>((VLOOKUP(Table1[[#This Row],[Month]],Table3[[Month (Long form)]:[Working days]],3,FALSE))*$X$4)*VLOOKUP(Table1[[#This Row],[Ressource]],Table2[[Initials]:[Utilization target]],3,FALSE)</f>
        <v>126.53999999999999</v>
      </c>
      <c r="F23" s="2">
        <f>VLOOKUP(Table1[[#This Row],[Ressource]],$O$5:$P$16,2,FALSE)</f>
        <v>850</v>
      </c>
      <c r="G23" s="2">
        <f>Table1[[#This Row],[Budget hours]]*Table1[[#This Row],[Avg. Rate]]</f>
        <v>107559</v>
      </c>
    </row>
    <row r="24" spans="1:19" x14ac:dyDescent="0.3">
      <c r="A24">
        <v>2026</v>
      </c>
      <c r="B24" t="s">
        <v>7</v>
      </c>
      <c r="C24" t="s">
        <v>3</v>
      </c>
      <c r="D24" t="s">
        <v>66</v>
      </c>
      <c r="E24" s="3">
        <f>((VLOOKUP(Table1[[#This Row],[Month]],Table3[[Month (Long form)]:[Working days]],3,FALSE))*$X$4)*VLOOKUP(Table1[[#This Row],[Ressource]],Table2[[Initials]:[Utilization target]],3,FALSE)</f>
        <v>94.201999999999998</v>
      </c>
      <c r="F24" s="2">
        <f>VLOOKUP(Table1[[#This Row],[Ressource]],$O$5:$P$16,2,FALSE)</f>
        <v>900</v>
      </c>
      <c r="G24" s="2">
        <f>Table1[[#This Row],[Budget hours]]*Table1[[#This Row],[Avg. Rate]]</f>
        <v>84781.8</v>
      </c>
      <c r="P24" s="1"/>
    </row>
    <row r="25" spans="1:19" x14ac:dyDescent="0.3">
      <c r="A25">
        <v>2026</v>
      </c>
      <c r="B25" s="1" t="s">
        <v>8</v>
      </c>
      <c r="C25" t="s">
        <v>3</v>
      </c>
      <c r="D25" t="s">
        <v>17</v>
      </c>
      <c r="E25" s="3">
        <f>((VLOOKUP(Table1[[#This Row],[Month]],Table3[[Month (Long form)]:[Working days]],3,FALSE))*$X$4)*VLOOKUP(Table1[[#This Row],[Ressource]],Table2[[Initials]:[Utilization target]],3,FALSE)</f>
        <v>119.50999999999999</v>
      </c>
      <c r="F25" s="2">
        <f>VLOOKUP(Table1[[#This Row],[Ressource]],$O$5:$P$16,2,FALSE)</f>
        <v>900</v>
      </c>
      <c r="G25" s="2">
        <f>Table1[[#This Row],[Budget hours]]*Table1[[#This Row],[Avg. Rate]]</f>
        <v>107558.99999999999</v>
      </c>
    </row>
    <row r="26" spans="1:19" x14ac:dyDescent="0.3">
      <c r="A26">
        <v>2026</v>
      </c>
      <c r="B26" s="1" t="s">
        <v>8</v>
      </c>
      <c r="C26" t="s">
        <v>3</v>
      </c>
      <c r="D26" t="s">
        <v>19</v>
      </c>
      <c r="E26" s="3">
        <f>((VLOOKUP(Table1[[#This Row],[Month]],Table3[[Month (Long form)]:[Working days]],3,FALSE))*$X$4)*VLOOKUP(Table1[[#This Row],[Ressource]],Table2[[Initials]:[Utilization target]],3,FALSE)</f>
        <v>119.50999999999999</v>
      </c>
      <c r="F26" s="2">
        <f>VLOOKUP(Table1[[#This Row],[Ressource]],$O$5:$P$16,2,FALSE)</f>
        <v>900</v>
      </c>
      <c r="G26" s="2">
        <f>Table1[[#This Row],[Budget hours]]*Table1[[#This Row],[Avg. Rate]]</f>
        <v>107558.99999999999</v>
      </c>
    </row>
    <row r="27" spans="1:19" x14ac:dyDescent="0.3">
      <c r="A27">
        <v>2026</v>
      </c>
      <c r="B27" s="1" t="s">
        <v>8</v>
      </c>
      <c r="C27" t="s">
        <v>3</v>
      </c>
      <c r="D27" t="s">
        <v>18</v>
      </c>
      <c r="E27" s="3">
        <f>((VLOOKUP(Table1[[#This Row],[Month]],Table3[[Month (Long form)]:[Working days]],3,FALSE))*$X$4)*VLOOKUP(Table1[[#This Row],[Ressource]],Table2[[Initials]:[Utilization target]],3,FALSE)</f>
        <v>119.50999999999999</v>
      </c>
      <c r="F27" s="2">
        <f>VLOOKUP(Table1[[#This Row],[Ressource]],$O$5:$P$16,2,FALSE)</f>
        <v>900</v>
      </c>
      <c r="G27" s="2">
        <f>Table1[[#This Row],[Budget hours]]*Table1[[#This Row],[Avg. Rate]]</f>
        <v>107558.99999999999</v>
      </c>
      <c r="N27" s="1"/>
    </row>
    <row r="28" spans="1:19" x14ac:dyDescent="0.3">
      <c r="A28">
        <v>2026</v>
      </c>
      <c r="B28" s="1" t="s">
        <v>8</v>
      </c>
      <c r="C28" t="s">
        <v>3</v>
      </c>
      <c r="D28" t="s">
        <v>16</v>
      </c>
      <c r="E28" s="3">
        <f>((VLOOKUP(Table1[[#This Row],[Month]],Table3[[Month (Long form)]:[Working days]],3,FALSE))*$X$4)*VLOOKUP(Table1[[#This Row],[Ressource]],Table2[[Initials]:[Utilization target]],3,FALSE)</f>
        <v>126.53999999999999</v>
      </c>
      <c r="F28" s="2">
        <f>VLOOKUP(Table1[[#This Row],[Ressource]],$O$5:$P$16,2,FALSE)</f>
        <v>850</v>
      </c>
      <c r="G28" s="2">
        <f>Table1[[#This Row],[Budget hours]]*Table1[[#This Row],[Avg. Rate]]</f>
        <v>107559</v>
      </c>
      <c r="N28" s="1"/>
      <c r="O28" s="13"/>
    </row>
    <row r="29" spans="1:19" x14ac:dyDescent="0.3">
      <c r="A29">
        <v>2026</v>
      </c>
      <c r="B29" s="1" t="s">
        <v>8</v>
      </c>
      <c r="C29" t="s">
        <v>3</v>
      </c>
      <c r="D29" t="s">
        <v>66</v>
      </c>
      <c r="E29" s="3">
        <f>((VLOOKUP(Table1[[#This Row],[Month]],Table3[[Month (Long form)]:[Working days]],3,FALSE))*$X$4)*VLOOKUP(Table1[[#This Row],[Ressource]],Table2[[Initials]:[Utilization target]],3,FALSE)</f>
        <v>94.201999999999998</v>
      </c>
      <c r="F29" s="2">
        <f>VLOOKUP(Table1[[#This Row],[Ressource]],$O$5:$P$16,2,FALSE)</f>
        <v>900</v>
      </c>
      <c r="G29" s="2">
        <f>Table1[[#This Row],[Budget hours]]*Table1[[#This Row],[Avg. Rate]]</f>
        <v>84781.8</v>
      </c>
    </row>
    <row r="30" spans="1:19" x14ac:dyDescent="0.3">
      <c r="A30">
        <v>2026</v>
      </c>
      <c r="B30" t="s">
        <v>9</v>
      </c>
      <c r="C30" t="s">
        <v>3</v>
      </c>
      <c r="D30" t="s">
        <v>17</v>
      </c>
      <c r="E30" s="3">
        <f>((VLOOKUP(Table1[[#This Row],[Month]],Table3[[Month (Long form)]:[Working days]],3,FALSE))*$X$4)*VLOOKUP(Table1[[#This Row],[Ressource]],Table2[[Initials]:[Utilization target]],3,FALSE)</f>
        <v>138.38</v>
      </c>
      <c r="F30" s="2">
        <f>VLOOKUP(Table1[[#This Row],[Ressource]],$O$5:$P$16,2,FALSE)</f>
        <v>900</v>
      </c>
      <c r="G30" s="2">
        <f>Table1[[#This Row],[Budget hours]]*Table1[[#This Row],[Avg. Rate]]</f>
        <v>124542</v>
      </c>
    </row>
    <row r="31" spans="1:19" x14ac:dyDescent="0.3">
      <c r="A31">
        <v>2026</v>
      </c>
      <c r="B31" t="s">
        <v>9</v>
      </c>
      <c r="C31" t="s">
        <v>3</v>
      </c>
      <c r="D31" t="s">
        <v>19</v>
      </c>
      <c r="E31" s="3">
        <f>((VLOOKUP(Table1[[#This Row],[Month]],Table3[[Month (Long form)]:[Working days]],3,FALSE))*$X$4)*VLOOKUP(Table1[[#This Row],[Ressource]],Table2[[Initials]:[Utilization target]],3,FALSE)</f>
        <v>138.38</v>
      </c>
      <c r="F31" s="2">
        <f>VLOOKUP(Table1[[#This Row],[Ressource]],$O$5:$P$16,2,FALSE)</f>
        <v>900</v>
      </c>
      <c r="G31" s="2">
        <f>Table1[[#This Row],[Budget hours]]*Table1[[#This Row],[Avg. Rate]]</f>
        <v>124542</v>
      </c>
    </row>
    <row r="32" spans="1:19" x14ac:dyDescent="0.3">
      <c r="A32">
        <v>2026</v>
      </c>
      <c r="B32" t="s">
        <v>9</v>
      </c>
      <c r="C32" t="s">
        <v>3</v>
      </c>
      <c r="D32" t="s">
        <v>18</v>
      </c>
      <c r="E32" s="3">
        <f>((VLOOKUP(Table1[[#This Row],[Month]],Table3[[Month (Long form)]:[Working days]],3,FALSE))*$X$4)*VLOOKUP(Table1[[#This Row],[Ressource]],Table2[[Initials]:[Utilization target]],3,FALSE)</f>
        <v>138.38</v>
      </c>
      <c r="F32" s="2">
        <f>VLOOKUP(Table1[[#This Row],[Ressource]],$O$5:$P$16,2,FALSE)</f>
        <v>900</v>
      </c>
      <c r="G32" s="2">
        <f>Table1[[#This Row],[Budget hours]]*Table1[[#This Row],[Avg. Rate]]</f>
        <v>124542</v>
      </c>
    </row>
    <row r="33" spans="1:7" x14ac:dyDescent="0.3">
      <c r="A33">
        <v>2026</v>
      </c>
      <c r="B33" t="s">
        <v>9</v>
      </c>
      <c r="C33" t="s">
        <v>3</v>
      </c>
      <c r="D33" t="s">
        <v>16</v>
      </c>
      <c r="E33" s="3">
        <f>((VLOOKUP(Table1[[#This Row],[Month]],Table3[[Month (Long form)]:[Working days]],3,FALSE))*$X$4)*VLOOKUP(Table1[[#This Row],[Ressource]],Table2[[Initials]:[Utilization target]],3,FALSE)</f>
        <v>146.52000000000001</v>
      </c>
      <c r="F33" s="2">
        <f>VLOOKUP(Table1[[#This Row],[Ressource]],$O$5:$P$16,2,FALSE)</f>
        <v>850</v>
      </c>
      <c r="G33" s="2">
        <f>Table1[[#This Row],[Budget hours]]*Table1[[#This Row],[Avg. Rate]]</f>
        <v>124542.00000000001</v>
      </c>
    </row>
    <row r="34" spans="1:7" x14ac:dyDescent="0.3">
      <c r="A34">
        <v>2026</v>
      </c>
      <c r="B34" t="s">
        <v>9</v>
      </c>
      <c r="C34" t="s">
        <v>3</v>
      </c>
      <c r="D34" t="s">
        <v>66</v>
      </c>
      <c r="E34" s="3">
        <f>((VLOOKUP(Table1[[#This Row],[Month]],Table3[[Month (Long form)]:[Working days]],3,FALSE))*$X$4)*VLOOKUP(Table1[[#This Row],[Ressource]],Table2[[Initials]:[Utilization target]],3,FALSE)</f>
        <v>109.07600000000001</v>
      </c>
      <c r="F34" s="2">
        <f>VLOOKUP(Table1[[#This Row],[Ressource]],$O$5:$P$16,2,FALSE)</f>
        <v>900</v>
      </c>
      <c r="G34" s="2">
        <f>Table1[[#This Row],[Budget hours]]*Table1[[#This Row],[Avg. Rate]]</f>
        <v>98168.400000000009</v>
      </c>
    </row>
    <row r="35" spans="1:7" x14ac:dyDescent="0.3">
      <c r="A35">
        <v>2026</v>
      </c>
      <c r="B35" s="1" t="s">
        <v>10</v>
      </c>
      <c r="C35" t="s">
        <v>3</v>
      </c>
      <c r="D35" t="s">
        <v>17</v>
      </c>
      <c r="E35" s="3">
        <f>((VLOOKUP(Table1[[#This Row],[Month]],Table3[[Month (Long form)]:[Working days]],3,FALSE))*$X$4)*VLOOKUP(Table1[[#This Row],[Ressource]],Table2[[Initials]:[Utilization target]],3,FALSE)</f>
        <v>144.67000000000002</v>
      </c>
      <c r="F35" s="2">
        <f>VLOOKUP(Table1[[#This Row],[Ressource]],$O$5:$P$16,2,FALSE)</f>
        <v>900</v>
      </c>
      <c r="G35" s="2">
        <f>Table1[[#This Row],[Budget hours]]*Table1[[#This Row],[Avg. Rate]]</f>
        <v>130203.00000000001</v>
      </c>
    </row>
    <row r="36" spans="1:7" x14ac:dyDescent="0.3">
      <c r="A36">
        <v>2026</v>
      </c>
      <c r="B36" s="1" t="s">
        <v>10</v>
      </c>
      <c r="C36" t="s">
        <v>3</v>
      </c>
      <c r="D36" t="s">
        <v>19</v>
      </c>
      <c r="E36" s="3">
        <f>((VLOOKUP(Table1[[#This Row],[Month]],Table3[[Month (Long form)]:[Working days]],3,FALSE))*$X$4)*VLOOKUP(Table1[[#This Row],[Ressource]],Table2[[Initials]:[Utilization target]],3,FALSE)</f>
        <v>144.67000000000002</v>
      </c>
      <c r="F36" s="2">
        <f>VLOOKUP(Table1[[#This Row],[Ressource]],$O$5:$P$16,2,FALSE)</f>
        <v>900</v>
      </c>
      <c r="G36" s="2">
        <f>Table1[[#This Row],[Budget hours]]*Table1[[#This Row],[Avg. Rate]]</f>
        <v>130203.00000000001</v>
      </c>
    </row>
    <row r="37" spans="1:7" x14ac:dyDescent="0.3">
      <c r="A37">
        <v>2026</v>
      </c>
      <c r="B37" s="1" t="s">
        <v>10</v>
      </c>
      <c r="C37" t="s">
        <v>3</v>
      </c>
      <c r="D37" t="s">
        <v>18</v>
      </c>
      <c r="E37" s="3">
        <f>((VLOOKUP(Table1[[#This Row],[Month]],Table3[[Month (Long form)]:[Working days]],3,FALSE))*$X$4)*VLOOKUP(Table1[[#This Row],[Ressource]],Table2[[Initials]:[Utilization target]],3,FALSE)</f>
        <v>144.67000000000002</v>
      </c>
      <c r="F37" s="2">
        <f>VLOOKUP(Table1[[#This Row],[Ressource]],$O$5:$P$16,2,FALSE)</f>
        <v>900</v>
      </c>
      <c r="G37" s="2">
        <f>Table1[[#This Row],[Budget hours]]*Table1[[#This Row],[Avg. Rate]]</f>
        <v>130203.00000000001</v>
      </c>
    </row>
    <row r="38" spans="1:7" x14ac:dyDescent="0.3">
      <c r="A38">
        <v>2026</v>
      </c>
      <c r="B38" s="1" t="s">
        <v>10</v>
      </c>
      <c r="C38" t="s">
        <v>3</v>
      </c>
      <c r="D38" t="s">
        <v>16</v>
      </c>
      <c r="E38" s="3">
        <f>((VLOOKUP(Table1[[#This Row],[Month]],Table3[[Month (Long form)]:[Working days]],3,FALSE))*$X$4)*VLOOKUP(Table1[[#This Row],[Ressource]],Table2[[Initials]:[Utilization target]],3,FALSE)</f>
        <v>153.18</v>
      </c>
      <c r="F38" s="2">
        <f>VLOOKUP(Table1[[#This Row],[Ressource]],$O$5:$P$16,2,FALSE)</f>
        <v>850</v>
      </c>
      <c r="G38" s="2">
        <f>Table1[[#This Row],[Budget hours]]*Table1[[#This Row],[Avg. Rate]]</f>
        <v>130203</v>
      </c>
    </row>
    <row r="39" spans="1:7" x14ac:dyDescent="0.3">
      <c r="A39">
        <v>2026</v>
      </c>
      <c r="B39" t="s">
        <v>11</v>
      </c>
      <c r="C39" t="s">
        <v>3</v>
      </c>
      <c r="D39" t="s">
        <v>17</v>
      </c>
      <c r="E39" s="3">
        <f>((VLOOKUP(Table1[[#This Row],[Month]],Table3[[Month (Long form)]:[Working days]],3,FALSE))*$X$4)*VLOOKUP(Table1[[#This Row],[Ressource]],Table2[[Initials]:[Utilization target]],3,FALSE)</f>
        <v>132.09</v>
      </c>
      <c r="F39" s="2">
        <f>VLOOKUP(Table1[[#This Row],[Ressource]],$O$5:$P$16,2,FALSE)</f>
        <v>900</v>
      </c>
      <c r="G39" s="2">
        <f>Table1[[#This Row],[Budget hours]]*Table1[[#This Row],[Avg. Rate]]</f>
        <v>118881</v>
      </c>
    </row>
    <row r="40" spans="1:7" x14ac:dyDescent="0.3">
      <c r="A40">
        <v>2026</v>
      </c>
      <c r="B40" t="s">
        <v>11</v>
      </c>
      <c r="C40" t="s">
        <v>3</v>
      </c>
      <c r="D40" t="s">
        <v>19</v>
      </c>
      <c r="E40" s="3">
        <f>((VLOOKUP(Table1[[#This Row],[Month]],Table3[[Month (Long form)]:[Working days]],3,FALSE))*$X$4)*VLOOKUP(Table1[[#This Row],[Ressource]],Table2[[Initials]:[Utilization target]],3,FALSE)</f>
        <v>132.09</v>
      </c>
      <c r="F40" s="2">
        <f>VLOOKUP(Table1[[#This Row],[Ressource]],$O$5:$P$16,2,FALSE)</f>
        <v>900</v>
      </c>
      <c r="G40" s="2">
        <f>Table1[[#This Row],[Budget hours]]*Table1[[#This Row],[Avg. Rate]]</f>
        <v>118881</v>
      </c>
    </row>
    <row r="41" spans="1:7" x14ac:dyDescent="0.3">
      <c r="A41">
        <v>2026</v>
      </c>
      <c r="B41" t="s">
        <v>11</v>
      </c>
      <c r="C41" t="s">
        <v>3</v>
      </c>
      <c r="D41" t="s">
        <v>18</v>
      </c>
      <c r="E41" s="3">
        <f>((VLOOKUP(Table1[[#This Row],[Month]],Table3[[Month (Long form)]:[Working days]],3,FALSE))*$X$4)*VLOOKUP(Table1[[#This Row],[Ressource]],Table2[[Initials]:[Utilization target]],3,FALSE)</f>
        <v>132.09</v>
      </c>
      <c r="F41" s="2">
        <f>VLOOKUP(Table1[[#This Row],[Ressource]],$O$5:$P$16,2,FALSE)</f>
        <v>900</v>
      </c>
      <c r="G41" s="2">
        <f>Table1[[#This Row],[Budget hours]]*Table1[[#This Row],[Avg. Rate]]</f>
        <v>118881</v>
      </c>
    </row>
    <row r="42" spans="1:7" x14ac:dyDescent="0.3">
      <c r="A42">
        <v>2026</v>
      </c>
      <c r="B42" t="s">
        <v>11</v>
      </c>
      <c r="C42" t="s">
        <v>3</v>
      </c>
      <c r="D42" t="s">
        <v>16</v>
      </c>
      <c r="E42" s="3">
        <f>((VLOOKUP(Table1[[#This Row],[Month]],Table3[[Month (Long form)]:[Working days]],3,FALSE))*$X$4)*VLOOKUP(Table1[[#This Row],[Ressource]],Table2[[Initials]:[Utilization target]],3,FALSE)</f>
        <v>139.86000000000001</v>
      </c>
      <c r="F42" s="2">
        <f>VLOOKUP(Table1[[#This Row],[Ressource]],$O$5:$P$16,2,FALSE)</f>
        <v>850</v>
      </c>
      <c r="G42" s="2">
        <f>Table1[[#This Row],[Budget hours]]*Table1[[#This Row],[Avg. Rate]]</f>
        <v>118881.00000000001</v>
      </c>
    </row>
    <row r="43" spans="1:7" x14ac:dyDescent="0.3">
      <c r="A43">
        <v>2026</v>
      </c>
      <c r="B43" s="1" t="s">
        <v>12</v>
      </c>
      <c r="C43" t="s">
        <v>3</v>
      </c>
      <c r="D43" t="s">
        <v>17</v>
      </c>
      <c r="E43" s="3">
        <f>((VLOOKUP(Table1[[#This Row],[Month]],Table3[[Month (Long form)]:[Working days]],3,FALSE))*$X$4)*VLOOKUP(Table1[[#This Row],[Ressource]],Table2[[Initials]:[Utilization target]],3,FALSE)</f>
        <v>138.38</v>
      </c>
      <c r="F43" s="2">
        <f>VLOOKUP(Table1[[#This Row],[Ressource]],$O$5:$P$16,2,FALSE)</f>
        <v>900</v>
      </c>
      <c r="G43" s="2">
        <f>Table1[[#This Row],[Budget hours]]*Table1[[#This Row],[Avg. Rate]]</f>
        <v>124542</v>
      </c>
    </row>
    <row r="44" spans="1:7" x14ac:dyDescent="0.3">
      <c r="A44">
        <v>2026</v>
      </c>
      <c r="B44" s="1" t="s">
        <v>12</v>
      </c>
      <c r="C44" t="s">
        <v>3</v>
      </c>
      <c r="D44" t="s">
        <v>19</v>
      </c>
      <c r="E44" s="3">
        <f>((VLOOKUP(Table1[[#This Row],[Month]],Table3[[Month (Long form)]:[Working days]],3,FALSE))*$X$4)*VLOOKUP(Table1[[#This Row],[Ressource]],Table2[[Initials]:[Utilization target]],3,FALSE)</f>
        <v>138.38</v>
      </c>
      <c r="F44" s="2">
        <f>VLOOKUP(Table1[[#This Row],[Ressource]],$O$5:$P$16,2,FALSE)</f>
        <v>900</v>
      </c>
      <c r="G44" s="2">
        <f>Table1[[#This Row],[Budget hours]]*Table1[[#This Row],[Avg. Rate]]</f>
        <v>124542</v>
      </c>
    </row>
    <row r="45" spans="1:7" x14ac:dyDescent="0.3">
      <c r="A45">
        <v>2026</v>
      </c>
      <c r="B45" s="1" t="s">
        <v>12</v>
      </c>
      <c r="C45" t="s">
        <v>3</v>
      </c>
      <c r="D45" t="s">
        <v>18</v>
      </c>
      <c r="E45" s="3">
        <f>((VLOOKUP(Table1[[#This Row],[Month]],Table3[[Month (Long form)]:[Working days]],3,FALSE))*$X$4)*VLOOKUP(Table1[[#This Row],[Ressource]],Table2[[Initials]:[Utilization target]],3,FALSE)</f>
        <v>138.38</v>
      </c>
      <c r="F45" s="2">
        <f>VLOOKUP(Table1[[#This Row],[Ressource]],$O$5:$P$16,2,FALSE)</f>
        <v>900</v>
      </c>
      <c r="G45" s="2">
        <f>Table1[[#This Row],[Budget hours]]*Table1[[#This Row],[Avg. Rate]]</f>
        <v>124542</v>
      </c>
    </row>
    <row r="46" spans="1:7" x14ac:dyDescent="0.3">
      <c r="A46">
        <v>2026</v>
      </c>
      <c r="B46" s="1" t="s">
        <v>12</v>
      </c>
      <c r="C46" t="s">
        <v>3</v>
      </c>
      <c r="D46" t="s">
        <v>16</v>
      </c>
      <c r="E46" s="3">
        <f>((VLOOKUP(Table1[[#This Row],[Month]],Table3[[Month (Long form)]:[Working days]],3,FALSE))*$X$4)*VLOOKUP(Table1[[#This Row],[Ressource]],Table2[[Initials]:[Utilization target]],3,FALSE)</f>
        <v>146.52000000000001</v>
      </c>
      <c r="F46" s="2">
        <f>VLOOKUP(Table1[[#This Row],[Ressource]],$O$5:$P$16,2,FALSE)</f>
        <v>850</v>
      </c>
      <c r="G46" s="2">
        <f>Table1[[#This Row],[Budget hours]]*Table1[[#This Row],[Avg. Rate]]</f>
        <v>124542.00000000001</v>
      </c>
    </row>
    <row r="47" spans="1:7" x14ac:dyDescent="0.3">
      <c r="A47">
        <v>2026</v>
      </c>
      <c r="B47" t="s">
        <v>13</v>
      </c>
      <c r="C47" t="s">
        <v>3</v>
      </c>
      <c r="D47" t="s">
        <v>17</v>
      </c>
      <c r="E47" s="3">
        <f>((VLOOKUP(Table1[[#This Row],[Month]],Table3[[Month (Long form)]:[Working days]],3,FALSE))*$X$4)*VLOOKUP(Table1[[#This Row],[Ressource]],Table2[[Initials]:[Utilization target]],3,FALSE)</f>
        <v>138.38</v>
      </c>
      <c r="F47" s="2">
        <f>VLOOKUP(Table1[[#This Row],[Ressource]],$O$5:$P$16,2,FALSE)</f>
        <v>900</v>
      </c>
      <c r="G47" s="2">
        <f>Table1[[#This Row],[Budget hours]]*Table1[[#This Row],[Avg. Rate]]</f>
        <v>124542</v>
      </c>
    </row>
    <row r="48" spans="1:7" x14ac:dyDescent="0.3">
      <c r="A48">
        <v>2026</v>
      </c>
      <c r="B48" t="s">
        <v>13</v>
      </c>
      <c r="C48" t="s">
        <v>3</v>
      </c>
      <c r="D48" t="s">
        <v>19</v>
      </c>
      <c r="E48" s="3">
        <f>((VLOOKUP(Table1[[#This Row],[Month]],Table3[[Month (Long form)]:[Working days]],3,FALSE))*$X$4)*VLOOKUP(Table1[[#This Row],[Ressource]],Table2[[Initials]:[Utilization target]],3,FALSE)</f>
        <v>138.38</v>
      </c>
      <c r="F48" s="2">
        <f>VLOOKUP(Table1[[#This Row],[Ressource]],$O$5:$P$16,2,FALSE)</f>
        <v>900</v>
      </c>
      <c r="G48" s="2">
        <f>Table1[[#This Row],[Budget hours]]*Table1[[#This Row],[Avg. Rate]]</f>
        <v>124542</v>
      </c>
    </row>
    <row r="49" spans="1:7" x14ac:dyDescent="0.3">
      <c r="A49">
        <v>2026</v>
      </c>
      <c r="B49" t="s">
        <v>13</v>
      </c>
      <c r="C49" t="s">
        <v>3</v>
      </c>
      <c r="D49" t="s">
        <v>18</v>
      </c>
      <c r="E49" s="3">
        <f>((VLOOKUP(Table1[[#This Row],[Month]],Table3[[Month (Long form)]:[Working days]],3,FALSE))*$X$4)*VLOOKUP(Table1[[#This Row],[Ressource]],Table2[[Initials]:[Utilization target]],3,FALSE)</f>
        <v>138.38</v>
      </c>
      <c r="F49" s="2">
        <f>VLOOKUP(Table1[[#This Row],[Ressource]],$O$5:$P$16,2,FALSE)</f>
        <v>900</v>
      </c>
      <c r="G49" s="2">
        <f>Table1[[#This Row],[Budget hours]]*Table1[[#This Row],[Avg. Rate]]</f>
        <v>124542</v>
      </c>
    </row>
    <row r="50" spans="1:7" x14ac:dyDescent="0.3">
      <c r="A50">
        <v>2026</v>
      </c>
      <c r="B50" t="s">
        <v>13</v>
      </c>
      <c r="C50" t="s">
        <v>3</v>
      </c>
      <c r="D50" t="s">
        <v>16</v>
      </c>
      <c r="E50" s="3">
        <f>((VLOOKUP(Table1[[#This Row],[Month]],Table3[[Month (Long form)]:[Working days]],3,FALSE))*$X$4)*VLOOKUP(Table1[[#This Row],[Ressource]],Table2[[Initials]:[Utilization target]],3,FALSE)</f>
        <v>146.52000000000001</v>
      </c>
      <c r="F50" s="2">
        <f>VLOOKUP(Table1[[#This Row],[Ressource]],$O$5:$P$16,2,FALSE)</f>
        <v>850</v>
      </c>
      <c r="G50" s="2">
        <f>Table1[[#This Row],[Budget hours]]*Table1[[#This Row],[Avg. Rate]]</f>
        <v>124542.00000000001</v>
      </c>
    </row>
    <row r="51" spans="1:7" x14ac:dyDescent="0.3">
      <c r="A51">
        <v>2026</v>
      </c>
      <c r="B51" s="1" t="s">
        <v>14</v>
      </c>
      <c r="C51" t="s">
        <v>3</v>
      </c>
      <c r="D51" t="s">
        <v>17</v>
      </c>
      <c r="E51" s="3">
        <f>((VLOOKUP(Table1[[#This Row],[Month]],Table3[[Month (Long form)]:[Working days]],3,FALSE))*$X$4)*VLOOKUP(Table1[[#This Row],[Ressource]],Table2[[Initials]:[Utilization target]],3,FALSE)</f>
        <v>132.09</v>
      </c>
      <c r="F51" s="2">
        <f>VLOOKUP(Table1[[#This Row],[Ressource]],$O$5:$P$16,2,FALSE)</f>
        <v>900</v>
      </c>
      <c r="G51" s="2">
        <f>Table1[[#This Row],[Budget hours]]*Table1[[#This Row],[Avg. Rate]]</f>
        <v>118881</v>
      </c>
    </row>
    <row r="52" spans="1:7" x14ac:dyDescent="0.3">
      <c r="A52">
        <v>2026</v>
      </c>
      <c r="B52" s="1" t="s">
        <v>14</v>
      </c>
      <c r="C52" t="s">
        <v>3</v>
      </c>
      <c r="D52" t="s">
        <v>19</v>
      </c>
      <c r="E52" s="3">
        <f>((VLOOKUP(Table1[[#This Row],[Month]],Table3[[Month (Long form)]:[Working days]],3,FALSE))*$X$4)*VLOOKUP(Table1[[#This Row],[Ressource]],Table2[[Initials]:[Utilization target]],3,FALSE)</f>
        <v>132.09</v>
      </c>
      <c r="F52" s="2">
        <f>VLOOKUP(Table1[[#This Row],[Ressource]],$O$5:$P$16,2,FALSE)</f>
        <v>900</v>
      </c>
      <c r="G52" s="2">
        <f>Table1[[#This Row],[Budget hours]]*Table1[[#This Row],[Avg. Rate]]</f>
        <v>118881</v>
      </c>
    </row>
    <row r="53" spans="1:7" x14ac:dyDescent="0.3">
      <c r="A53">
        <v>2026</v>
      </c>
      <c r="B53" s="1" t="s">
        <v>14</v>
      </c>
      <c r="C53" t="s">
        <v>3</v>
      </c>
      <c r="D53" t="s">
        <v>18</v>
      </c>
      <c r="E53" s="3">
        <f>((VLOOKUP(Table1[[#This Row],[Month]],Table3[[Month (Long form)]:[Working days]],3,FALSE))*$X$4)*VLOOKUP(Table1[[#This Row],[Ressource]],Table2[[Initials]:[Utilization target]],3,FALSE)</f>
        <v>132.09</v>
      </c>
      <c r="F53" s="2">
        <f>VLOOKUP(Table1[[#This Row],[Ressource]],$O$5:$P$16,2,FALSE)</f>
        <v>900</v>
      </c>
      <c r="G53" s="2">
        <f>Table1[[#This Row],[Budget hours]]*Table1[[#This Row],[Avg. Rate]]</f>
        <v>118881</v>
      </c>
    </row>
    <row r="54" spans="1:7" x14ac:dyDescent="0.3">
      <c r="A54">
        <v>2026</v>
      </c>
      <c r="B54" s="1" t="s">
        <v>14</v>
      </c>
      <c r="C54" t="s">
        <v>3</v>
      </c>
      <c r="D54" t="s">
        <v>16</v>
      </c>
      <c r="E54" s="3">
        <f>((VLOOKUP(Table1[[#This Row],[Month]],Table3[[Month (Long form)]:[Working days]],3,FALSE))*$X$4)*VLOOKUP(Table1[[#This Row],[Ressource]],Table2[[Initials]:[Utilization target]],3,FALSE)</f>
        <v>139.86000000000001</v>
      </c>
      <c r="F54" s="2">
        <f>VLOOKUP(Table1[[#This Row],[Ressource]],$O$5:$P$16,2,FALSE)</f>
        <v>850</v>
      </c>
      <c r="G54" s="2">
        <f>Table1[[#This Row],[Budget hours]]*Table1[[#This Row],[Avg. Rate]]</f>
        <v>118881.00000000001</v>
      </c>
    </row>
    <row r="55" spans="1:7" x14ac:dyDescent="0.3">
      <c r="A55">
        <v>2026</v>
      </c>
      <c r="B55" t="s">
        <v>15</v>
      </c>
      <c r="C55" t="s">
        <v>3</v>
      </c>
      <c r="D55" t="s">
        <v>17</v>
      </c>
      <c r="E55" s="3">
        <f>((VLOOKUP(Table1[[#This Row],[Month]],Table3[[Month (Long form)]:[Working days]],3,FALSE))*$X$4)*VLOOKUP(Table1[[#This Row],[Ressource]],Table2[[Initials]:[Utilization target]],3,FALSE)</f>
        <v>138.38</v>
      </c>
      <c r="F55" s="2">
        <f>VLOOKUP(Table1[[#This Row],[Ressource]],$O$5:$P$16,2,FALSE)</f>
        <v>900</v>
      </c>
      <c r="G55" s="2">
        <f>Table1[[#This Row],[Budget hours]]*Table1[[#This Row],[Avg. Rate]]</f>
        <v>124542</v>
      </c>
    </row>
    <row r="56" spans="1:7" x14ac:dyDescent="0.3">
      <c r="A56">
        <v>2026</v>
      </c>
      <c r="B56" t="s">
        <v>15</v>
      </c>
      <c r="C56" t="s">
        <v>3</v>
      </c>
      <c r="D56" t="s">
        <v>19</v>
      </c>
      <c r="E56" s="3">
        <f>((VLOOKUP(Table1[[#This Row],[Month]],Table3[[Month (Long form)]:[Working days]],3,FALSE))*$X$4)*VLOOKUP(Table1[[#This Row],[Ressource]],Table2[[Initials]:[Utilization target]],3,FALSE)</f>
        <v>138.38</v>
      </c>
      <c r="F56" s="2">
        <f>VLOOKUP(Table1[[#This Row],[Ressource]],$O$5:$P$16,2,FALSE)</f>
        <v>900</v>
      </c>
      <c r="G56" s="2">
        <f>Table1[[#This Row],[Budget hours]]*Table1[[#This Row],[Avg. Rate]]</f>
        <v>124542</v>
      </c>
    </row>
    <row r="57" spans="1:7" x14ac:dyDescent="0.3">
      <c r="A57">
        <v>2026</v>
      </c>
      <c r="B57" t="s">
        <v>15</v>
      </c>
      <c r="C57" t="s">
        <v>3</v>
      </c>
      <c r="D57" t="s">
        <v>18</v>
      </c>
      <c r="E57" s="3">
        <f>((VLOOKUP(Table1[[#This Row],[Month]],Table3[[Month (Long form)]:[Working days]],3,FALSE))*$X$4)*VLOOKUP(Table1[[#This Row],[Ressource]],Table2[[Initials]:[Utilization target]],3,FALSE)</f>
        <v>138.38</v>
      </c>
      <c r="F57" s="2">
        <f>VLOOKUP(Table1[[#This Row],[Ressource]],$O$5:$P$16,2,FALSE)</f>
        <v>900</v>
      </c>
      <c r="G57" s="2">
        <f>Table1[[#This Row],[Budget hours]]*Table1[[#This Row],[Avg. Rate]]</f>
        <v>124542</v>
      </c>
    </row>
    <row r="58" spans="1:7" x14ac:dyDescent="0.3">
      <c r="A58">
        <v>2026</v>
      </c>
      <c r="B58" t="s">
        <v>15</v>
      </c>
      <c r="C58" t="s">
        <v>3</v>
      </c>
      <c r="D58" t="s">
        <v>16</v>
      </c>
      <c r="E58" s="3">
        <f>((VLOOKUP(Table1[[#This Row],[Month]],Table3[[Month (Long form)]:[Working days]],3,FALSE))*$X$4)*VLOOKUP(Table1[[#This Row],[Ressource]],Table2[[Initials]:[Utilization target]],3,FALSE)</f>
        <v>146.52000000000001</v>
      </c>
      <c r="F58" s="2">
        <f>VLOOKUP(Table1[[#This Row],[Ressource]],$O$5:$P$16,2,FALSE)</f>
        <v>850</v>
      </c>
      <c r="G58" s="2">
        <f>Table1[[#This Row],[Budget hours]]*Table1[[#This Row],[Avg. Rate]]</f>
        <v>124542.00000000001</v>
      </c>
    </row>
    <row r="59" spans="1:7" x14ac:dyDescent="0.3">
      <c r="A59" t="s">
        <v>21</v>
      </c>
      <c r="E59" s="2">
        <f>SUBTOTAL(109,Table1[Budget hours])</f>
        <v>7094.4540000000043</v>
      </c>
      <c r="G59" s="2">
        <f>SUBTOTAL(109,Table1[Budget DKK])</f>
        <v>6300426.5999999996</v>
      </c>
    </row>
  </sheetData>
  <phoneticPr fontId="2" type="noConversion"/>
  <dataValidations disablePrompts="1" count="1">
    <dataValidation type="list" allowBlank="1" showInputMessage="1" showErrorMessage="1" sqref="D5:D58" xr:uid="{AE5EF3FB-3892-4F13-A575-46C7F9406D60}">
      <formula1>$O$5:$O$16</formula1>
    </dataValidation>
  </dataValidation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7e73a8-6c2b-47ad-b1e4-d9404b3be5e2">
      <Terms xmlns="http://schemas.microsoft.com/office/infopath/2007/PartnerControls"/>
    </lcf76f155ced4ddcb4097134ff3c332f>
    <TaxCatchAll xmlns="aa5ade46-9cd6-4083-8cb3-6493c3d322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25ECEB9D266489A4C4BAEE9C138D7" ma:contentTypeVersion="13" ma:contentTypeDescription="Create a new document." ma:contentTypeScope="" ma:versionID="7035983bb000463f77d73d8348983df5">
  <xsd:schema xmlns:xsd="http://www.w3.org/2001/XMLSchema" xmlns:xs="http://www.w3.org/2001/XMLSchema" xmlns:p="http://schemas.microsoft.com/office/2006/metadata/properties" xmlns:ns2="c27e73a8-6c2b-47ad-b1e4-d9404b3be5e2" xmlns:ns3="aa5ade46-9cd6-4083-8cb3-6493c3d322e5" targetNamespace="http://schemas.microsoft.com/office/2006/metadata/properties" ma:root="true" ma:fieldsID="640dd6b72bb91c7e001de435e2fd01a6" ns2:_="" ns3:_="">
    <xsd:import namespace="c27e73a8-6c2b-47ad-b1e4-d9404b3be5e2"/>
    <xsd:import namespace="aa5ade46-9cd6-4083-8cb3-6493c3d32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e73a8-6c2b-47ad-b1e4-d9404b3be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7d82e7f-c957-41e7-94af-e328b75fb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5ade46-9cd6-4083-8cb3-6493c3d322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1ddf1e7-9c61-4a45-a59c-b48c2df661eb}" ma:internalName="TaxCatchAll" ma:showField="CatchAllData" ma:web="aa5ade46-9cd6-4083-8cb3-6493c3d32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203401-6D02-41B4-A88A-05645CBFD126}">
  <ds:schemaRefs>
    <ds:schemaRef ds:uri="http://schemas.microsoft.com/office/2006/metadata/properties"/>
    <ds:schemaRef ds:uri="http://schemas.microsoft.com/office/infopath/2007/PartnerControls"/>
    <ds:schemaRef ds:uri="c27e73a8-6c2b-47ad-b1e4-d9404b3be5e2"/>
    <ds:schemaRef ds:uri="aa5ade46-9cd6-4083-8cb3-6493c3d322e5"/>
  </ds:schemaRefs>
</ds:datastoreItem>
</file>

<file path=customXml/itemProps2.xml><?xml version="1.0" encoding="utf-8"?>
<ds:datastoreItem xmlns:ds="http://schemas.openxmlformats.org/officeDocument/2006/customXml" ds:itemID="{3543F748-C6FD-4BB8-943B-3C0DC488C0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42260D-F292-4F10-8B31-48345E761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7e73a8-6c2b-47ad-b1e4-d9404b3be5e2"/>
    <ds:schemaRef ds:uri="aa5ade46-9cd6-4083-8cb3-6493c3d322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- Consulting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Stokholm</dc:creator>
  <cp:lastModifiedBy>Dennis Stokholm</cp:lastModifiedBy>
  <dcterms:created xsi:type="dcterms:W3CDTF">2026-02-24T23:25:40Z</dcterms:created>
  <dcterms:modified xsi:type="dcterms:W3CDTF">2026-02-25T20:31:38Z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0x010100D7725ECEB9D266489A4C4BAEE9C138D7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