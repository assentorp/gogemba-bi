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kyodolab.sharepoint.com/sites/administration/Shared Documents/01_Finance/Power BI/AI Design test III (Peter)/"/>
    </mc:Choice>
  </mc:AlternateContent>
  <xr:revisionPtr revIDLastSave="35" documentId="8_{BEAB6454-7158-4CFC-B3AC-BA88A42960EE}" xr6:coauthVersionLast="47" xr6:coauthVersionMax="47" xr10:uidLastSave="{62212FED-0F15-4C0F-B69D-3F2EDB921725}"/>
  <bookViews>
    <workbookView xWindow="-120" yWindow="-120" windowWidth="29040" windowHeight="15840" tabRatio="798" xr2:uid="{B9782C42-F6D7-4530-B573-A01C58291C5E}"/>
  </bookViews>
  <sheets>
    <sheet name="Hours" sheetId="2" r:id="rId1"/>
    <sheet name="Meta" sheetId="5" r:id="rId2"/>
  </sheets>
  <definedNames>
    <definedName name="_xlcn.WorksheetConnection_Timesheets_Kyodo_Global_v2.xlsxTable11" hidden="1">Table1[]</definedName>
    <definedName name="Activities">Table4[[#Headers],[Activities]]</definedName>
    <definedName name="Activity">Table4[Activities]</definedName>
    <definedName name="asdf">Table2[Client
'[Name']]</definedName>
    <definedName name="asdfasdfasdfa">Table1[[#All],[Client]:[Total, DKK]]</definedName>
    <definedName name="asdfsdaf">Table2[]</definedName>
    <definedName name="Clients">Table2[Client
'[Name']]</definedName>
    <definedName name="Clients_projects_rates">Table2[]</definedName>
    <definedName name="ds_hours">Table1[[#All],[Client]:[Total, DKK]]</definedName>
    <definedName name="ds_km">#REF!</definedName>
    <definedName name="ds_travel">#REF!</definedName>
    <definedName name="ewqrxcvz">#REF!</definedName>
    <definedName name="FLAF">Table4[[#Headers],[Activities]]</definedName>
    <definedName name="gdasew">#REF!</definedName>
    <definedName name="hdfscs">#REF!</definedName>
    <definedName name="Hours_reg">Table1[[#All],[Client]:[Total, DKK]]</definedName>
    <definedName name="kørsel_addr">#REF!</definedName>
    <definedName name="Kørsel_addr_km">#REF!</definedName>
    <definedName name="owieur">Table2[Project
'[Name']]</definedName>
    <definedName name="Projects">Table2[Project
'[Name']]</definedName>
    <definedName name="PS_Types">#REF!</definedName>
    <definedName name="Resources">Table3[]</definedName>
    <definedName name="Ressource">Table2[Ressource
'[Initials']]</definedName>
    <definedName name="rewtwert">Table1[[#All],[Client]:[Total, DKK]]</definedName>
    <definedName name="sdaf">Table4[Activities]</definedName>
    <definedName name="TandA">#REF!</definedName>
    <definedName name="tbl_TandA">#REF!</definedName>
    <definedName name="weqrfxavf">Table2[Ressource
'[Initials']]</definedName>
    <definedName name="xcnbmv">Table3[]</definedName>
    <definedName name="xsdaf">#REF!</definedName>
    <definedName name="ækm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  Client   Name     Planned hours  Sum of PO  s  HRS" name="Table2  Client   Name     Planned hours  Sum of PO  s  HRS" connection="WorksheetConnection_Timesheets_Kyodo_Global_v2.xlsx!Table2[[Client_x000a_'[Name']]:[Planned hours (Sum of PO''s)_x000a_HRS]]"/>
          <x15:modelTable id="Table1" name="Hours" connection="WorksheetConnection_Timesheets_Kyodo_Global_v2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G437" i="2"/>
  <c r="J437" i="2" s="1"/>
  <c r="G438" i="2"/>
  <c r="J438" i="2" s="1"/>
  <c r="G435" i="2"/>
  <c r="J435" i="2" s="1"/>
  <c r="G436" i="2"/>
  <c r="J436" i="2" s="1"/>
  <c r="G434" i="2"/>
  <c r="J434" i="2" s="1"/>
  <c r="G433" i="2"/>
  <c r="G431" i="2"/>
  <c r="J431" i="2" s="1"/>
  <c r="G432" i="2"/>
  <c r="J432" i="2" s="1"/>
  <c r="K438" i="2"/>
  <c r="I438" i="2"/>
  <c r="K437" i="2"/>
  <c r="I437" i="2"/>
  <c r="K436" i="2"/>
  <c r="I436" i="2"/>
  <c r="K435" i="2"/>
  <c r="I435" i="2"/>
  <c r="K434" i="2"/>
  <c r="I434" i="2"/>
  <c r="G430" i="2"/>
  <c r="J430" i="2" s="1"/>
  <c r="G429" i="2"/>
  <c r="J429" i="2" s="1"/>
  <c r="K433" i="2"/>
  <c r="J433" i="2"/>
  <c r="I433" i="2"/>
  <c r="K432" i="2"/>
  <c r="I432" i="2"/>
  <c r="G428" i="2"/>
  <c r="J428" i="2" s="1"/>
  <c r="G427" i="2"/>
  <c r="J427" i="2" s="1"/>
  <c r="K431" i="2"/>
  <c r="I431" i="2"/>
  <c r="K430" i="2"/>
  <c r="I430" i="2"/>
  <c r="K429" i="2"/>
  <c r="I429" i="2"/>
  <c r="K428" i="2"/>
  <c r="I428" i="2"/>
  <c r="K427" i="2"/>
  <c r="I427" i="2"/>
  <c r="G419" i="2" l="1"/>
  <c r="J419" i="2" s="1"/>
  <c r="G418" i="2"/>
  <c r="J418" i="2" s="1"/>
  <c r="G406" i="2"/>
  <c r="J406" i="2" s="1"/>
  <c r="G405" i="2"/>
  <c r="J405" i="2" s="1"/>
  <c r="G389" i="2"/>
  <c r="J389" i="2" s="1"/>
  <c r="G388" i="2"/>
  <c r="J388" i="2" s="1"/>
  <c r="G387" i="2"/>
  <c r="J387" i="2" s="1"/>
  <c r="G373" i="2"/>
  <c r="J373" i="2" s="1"/>
  <c r="G372" i="2"/>
  <c r="J372" i="2" s="1"/>
  <c r="G371" i="2"/>
  <c r="J371" i="2" s="1"/>
  <c r="I419" i="2"/>
  <c r="K419" i="2"/>
  <c r="I418" i="2"/>
  <c r="K418" i="2"/>
  <c r="I406" i="2"/>
  <c r="K406" i="2"/>
  <c r="I405" i="2"/>
  <c r="K405" i="2"/>
  <c r="I389" i="2"/>
  <c r="K389" i="2"/>
  <c r="I388" i="2"/>
  <c r="K388" i="2"/>
  <c r="I387" i="2"/>
  <c r="K387" i="2"/>
  <c r="I373" i="2"/>
  <c r="K373" i="2"/>
  <c r="I372" i="2"/>
  <c r="K372" i="2"/>
  <c r="I371" i="2"/>
  <c r="K371" i="2"/>
  <c r="I411" i="2" l="1"/>
  <c r="I412" i="2"/>
  <c r="I413" i="2"/>
  <c r="I414" i="2"/>
  <c r="I415" i="2"/>
  <c r="I416" i="2"/>
  <c r="I417" i="2"/>
  <c r="K411" i="2"/>
  <c r="K412" i="2"/>
  <c r="K413" i="2"/>
  <c r="K414" i="2"/>
  <c r="K415" i="2"/>
  <c r="K416" i="2"/>
  <c r="K417" i="2"/>
  <c r="G417" i="2"/>
  <c r="J417" i="2" s="1"/>
  <c r="G416" i="2"/>
  <c r="J416" i="2" s="1"/>
  <c r="G415" i="2"/>
  <c r="J415" i="2" s="1"/>
  <c r="G414" i="2"/>
  <c r="J414" i="2" s="1"/>
  <c r="G413" i="2"/>
  <c r="J413" i="2" s="1"/>
  <c r="G412" i="2"/>
  <c r="J412" i="2" s="1"/>
  <c r="G411" i="2"/>
  <c r="J411" i="2" s="1"/>
  <c r="I409" i="2"/>
  <c r="I410" i="2"/>
  <c r="K409" i="2"/>
  <c r="K410" i="2"/>
  <c r="G410" i="2"/>
  <c r="J410" i="2" s="1"/>
  <c r="G409" i="2"/>
  <c r="J409" i="2" s="1"/>
  <c r="I420" i="2"/>
  <c r="I421" i="2"/>
  <c r="I422" i="2"/>
  <c r="I423" i="2"/>
  <c r="I424" i="2"/>
  <c r="I425" i="2"/>
  <c r="I426" i="2"/>
  <c r="K420" i="2"/>
  <c r="K421" i="2"/>
  <c r="K422" i="2"/>
  <c r="K423" i="2"/>
  <c r="K424" i="2"/>
  <c r="K425" i="2"/>
  <c r="K426" i="2"/>
  <c r="G426" i="2"/>
  <c r="J426" i="2" s="1"/>
  <c r="G425" i="2"/>
  <c r="J425" i="2" s="1"/>
  <c r="G424" i="2"/>
  <c r="J424" i="2" s="1"/>
  <c r="G423" i="2"/>
  <c r="J423" i="2" s="1"/>
  <c r="G422" i="2"/>
  <c r="J422" i="2" s="1"/>
  <c r="G421" i="2"/>
  <c r="J421" i="2" s="1"/>
  <c r="G420" i="2"/>
  <c r="J420" i="2" s="1"/>
  <c r="G408" i="2"/>
  <c r="J408" i="2" s="1"/>
  <c r="I408" i="2"/>
  <c r="K408" i="2"/>
  <c r="G407" i="2"/>
  <c r="J407" i="2" s="1"/>
  <c r="I407" i="2"/>
  <c r="K407" i="2"/>
  <c r="I403" i="2"/>
  <c r="I404" i="2"/>
  <c r="K403" i="2"/>
  <c r="K404" i="2"/>
  <c r="G404" i="2"/>
  <c r="J404" i="2" s="1"/>
  <c r="G403" i="2"/>
  <c r="J403" i="2" s="1"/>
  <c r="I402" i="2"/>
  <c r="I386" i="2"/>
  <c r="K402" i="2"/>
  <c r="K386" i="2"/>
  <c r="G386" i="2"/>
  <c r="J386" i="2" s="1"/>
  <c r="G402" i="2"/>
  <c r="J402" i="2" s="1"/>
  <c r="K385" i="2"/>
  <c r="I385" i="2"/>
  <c r="G385" i="2"/>
  <c r="J385" i="2" s="1"/>
  <c r="K401" i="2"/>
  <c r="I401" i="2"/>
  <c r="G401" i="2"/>
  <c r="J401" i="2" s="1"/>
  <c r="K400" i="2"/>
  <c r="I400" i="2"/>
  <c r="G400" i="2"/>
  <c r="J400" i="2" s="1"/>
  <c r="K399" i="2"/>
  <c r="I399" i="2"/>
  <c r="G399" i="2"/>
  <c r="J399" i="2" s="1"/>
  <c r="I390" i="2"/>
  <c r="I391" i="2"/>
  <c r="I392" i="2"/>
  <c r="I393" i="2"/>
  <c r="I394" i="2"/>
  <c r="I395" i="2"/>
  <c r="I396" i="2"/>
  <c r="I397" i="2"/>
  <c r="I398" i="2"/>
  <c r="K390" i="2"/>
  <c r="K391" i="2"/>
  <c r="K392" i="2"/>
  <c r="K393" i="2"/>
  <c r="K394" i="2"/>
  <c r="K395" i="2"/>
  <c r="K396" i="2"/>
  <c r="K397" i="2"/>
  <c r="K398" i="2"/>
  <c r="G398" i="2"/>
  <c r="J398" i="2" s="1"/>
  <c r="G397" i="2"/>
  <c r="J397" i="2" s="1"/>
  <c r="G396" i="2"/>
  <c r="J396" i="2" s="1"/>
  <c r="G395" i="2"/>
  <c r="J395" i="2" s="1"/>
  <c r="G394" i="2"/>
  <c r="J394" i="2" s="1"/>
  <c r="G393" i="2"/>
  <c r="J393" i="2" s="1"/>
  <c r="G392" i="2"/>
  <c r="J392" i="2" s="1"/>
  <c r="G391" i="2"/>
  <c r="J391" i="2" s="1"/>
  <c r="G390" i="2"/>
  <c r="J390" i="2" s="1"/>
  <c r="I383" i="2"/>
  <c r="I384" i="2"/>
  <c r="K383" i="2"/>
  <c r="K384" i="2"/>
  <c r="G384" i="2"/>
  <c r="J384" i="2" s="1"/>
  <c r="G383" i="2"/>
  <c r="J383" i="2" s="1"/>
  <c r="I380" i="2"/>
  <c r="I381" i="2"/>
  <c r="I382" i="2"/>
  <c r="K380" i="2"/>
  <c r="K381" i="2"/>
  <c r="K382" i="2"/>
  <c r="G382" i="2"/>
  <c r="J382" i="2" s="1"/>
  <c r="G381" i="2"/>
  <c r="J381" i="2" s="1"/>
  <c r="G380" i="2"/>
  <c r="J380" i="2" s="1"/>
  <c r="I376" i="2"/>
  <c r="I377" i="2"/>
  <c r="I378" i="2"/>
  <c r="I379" i="2"/>
  <c r="K376" i="2"/>
  <c r="K377" i="2"/>
  <c r="K378" i="2"/>
  <c r="K379" i="2"/>
  <c r="G379" i="2"/>
  <c r="J379" i="2" s="1"/>
  <c r="G378" i="2"/>
  <c r="J378" i="2" s="1"/>
  <c r="G377" i="2"/>
  <c r="J377" i="2" s="1"/>
  <c r="G376" i="2"/>
  <c r="J376" i="2" s="1"/>
  <c r="G375" i="2"/>
  <c r="J375" i="2" s="1"/>
  <c r="I375" i="2"/>
  <c r="K375" i="2"/>
  <c r="G374" i="2"/>
  <c r="J374" i="2" s="1"/>
  <c r="I374" i="2"/>
  <c r="K374" i="2"/>
  <c r="K370" i="2"/>
  <c r="I370" i="2"/>
  <c r="G370" i="2"/>
  <c r="J370" i="2" s="1"/>
  <c r="K369" i="2"/>
  <c r="I369" i="2"/>
  <c r="G369" i="2"/>
  <c r="J369" i="2" s="1"/>
  <c r="K368" i="2"/>
  <c r="I368" i="2"/>
  <c r="G368" i="2"/>
  <c r="J368" i="2" s="1"/>
  <c r="G367" i="2"/>
  <c r="J367" i="2" s="1"/>
  <c r="I367" i="2"/>
  <c r="K367" i="2"/>
  <c r="I366" i="2"/>
  <c r="K366" i="2"/>
  <c r="G366" i="2"/>
  <c r="J366" i="2" s="1"/>
  <c r="G325" i="2" l="1"/>
  <c r="J325" i="2" s="1"/>
  <c r="I325" i="2"/>
  <c r="K325" i="2"/>
  <c r="G303" i="2"/>
  <c r="J303" i="2" s="1"/>
  <c r="I303" i="2"/>
  <c r="K303" i="2"/>
  <c r="G302" i="2"/>
  <c r="J302" i="2" s="1"/>
  <c r="I302" i="2"/>
  <c r="K302" i="2"/>
  <c r="G324" i="2"/>
  <c r="J324" i="2" s="1"/>
  <c r="I324" i="2"/>
  <c r="K324" i="2"/>
  <c r="I285" i="2"/>
  <c r="G362" i="2"/>
  <c r="J362" i="2" s="1"/>
  <c r="I362" i="2"/>
  <c r="K362" i="2"/>
  <c r="G361" i="2"/>
  <c r="J361" i="2" s="1"/>
  <c r="I361" i="2"/>
  <c r="K361" i="2"/>
  <c r="G360" i="2"/>
  <c r="J360" i="2" s="1"/>
  <c r="I360" i="2"/>
  <c r="K360" i="2"/>
  <c r="G359" i="2"/>
  <c r="J359" i="2" s="1"/>
  <c r="I359" i="2"/>
  <c r="K359" i="2"/>
  <c r="G358" i="2"/>
  <c r="J358" i="2" s="1"/>
  <c r="I358" i="2"/>
  <c r="K358" i="2"/>
  <c r="G357" i="2"/>
  <c r="J357" i="2" s="1"/>
  <c r="I357" i="2"/>
  <c r="K357" i="2"/>
  <c r="G356" i="2"/>
  <c r="J356" i="2" s="1"/>
  <c r="G355" i="2"/>
  <c r="J355" i="2" s="1"/>
  <c r="I356" i="2"/>
  <c r="K356" i="2"/>
  <c r="G341" i="2"/>
  <c r="J341" i="2" s="1"/>
  <c r="G340" i="2"/>
  <c r="J340" i="2" s="1"/>
  <c r="G339" i="2"/>
  <c r="J339" i="2" s="1"/>
  <c r="G323" i="2"/>
  <c r="J323" i="2" s="1"/>
  <c r="G322" i="2"/>
  <c r="J322" i="2" s="1"/>
  <c r="G321" i="2"/>
  <c r="J321" i="2" s="1"/>
  <c r="I355" i="2"/>
  <c r="K355" i="2"/>
  <c r="I341" i="2"/>
  <c r="K341" i="2"/>
  <c r="I340" i="2"/>
  <c r="K340" i="2"/>
  <c r="I339" i="2"/>
  <c r="K339" i="2"/>
  <c r="I322" i="2"/>
  <c r="I323" i="2"/>
  <c r="K322" i="2"/>
  <c r="K323" i="2"/>
  <c r="K321" i="2"/>
  <c r="I321" i="2"/>
  <c r="G352" i="2" l="1"/>
  <c r="J352" i="2" s="1"/>
  <c r="G351" i="2"/>
  <c r="J351" i="2" s="1"/>
  <c r="G363" i="2"/>
  <c r="J363" i="2" s="1"/>
  <c r="G350" i="2"/>
  <c r="J350" i="2" s="1"/>
  <c r="G349" i="2"/>
  <c r="J349" i="2" s="1"/>
  <c r="G348" i="2"/>
  <c r="J348" i="2" s="1"/>
  <c r="G347" i="2"/>
  <c r="J347" i="2" s="1"/>
  <c r="G346" i="2"/>
  <c r="J346" i="2" s="1"/>
  <c r="G345" i="2"/>
  <c r="J345" i="2" s="1"/>
  <c r="I345" i="2"/>
  <c r="K345" i="2"/>
  <c r="I346" i="2"/>
  <c r="K346" i="2"/>
  <c r="I347" i="2"/>
  <c r="K347" i="2"/>
  <c r="I348" i="2"/>
  <c r="K348" i="2"/>
  <c r="I349" i="2"/>
  <c r="K349" i="2"/>
  <c r="I350" i="2"/>
  <c r="K350" i="2"/>
  <c r="I363" i="2"/>
  <c r="K363" i="2"/>
  <c r="I351" i="2"/>
  <c r="K351" i="2"/>
  <c r="I352" i="2"/>
  <c r="K352" i="2"/>
  <c r="G364" i="2"/>
  <c r="J364" i="2" s="1"/>
  <c r="I364" i="2"/>
  <c r="K364" i="2"/>
  <c r="G365" i="2"/>
  <c r="J365" i="2" s="1"/>
  <c r="I365" i="2"/>
  <c r="K365" i="2"/>
  <c r="G353" i="2"/>
  <c r="J353" i="2" s="1"/>
  <c r="I353" i="2"/>
  <c r="K353" i="2"/>
  <c r="G344" i="2"/>
  <c r="J344" i="2" s="1"/>
  <c r="G343" i="2"/>
  <c r="J343" i="2" s="1"/>
  <c r="K354" i="2"/>
  <c r="I354" i="2"/>
  <c r="G354" i="2"/>
  <c r="J354" i="2" s="1"/>
  <c r="K344" i="2"/>
  <c r="I344" i="2"/>
  <c r="K343" i="2"/>
  <c r="I343" i="2"/>
  <c r="G342" i="2"/>
  <c r="J342" i="2" s="1"/>
  <c r="I342" i="2"/>
  <c r="K342" i="2"/>
  <c r="G338" i="2"/>
  <c r="J338" i="2" s="1"/>
  <c r="I338" i="2"/>
  <c r="K338" i="2"/>
  <c r="G337" i="2"/>
  <c r="J337" i="2" s="1"/>
  <c r="I337" i="2"/>
  <c r="K337" i="2"/>
  <c r="G336" i="2"/>
  <c r="J336" i="2" s="1"/>
  <c r="I336" i="2"/>
  <c r="K336" i="2"/>
  <c r="G335" i="2"/>
  <c r="J335" i="2" s="1"/>
  <c r="I335" i="2"/>
  <c r="K335" i="2"/>
  <c r="G334" i="2"/>
  <c r="J334" i="2" s="1"/>
  <c r="I334" i="2"/>
  <c r="K334" i="2"/>
  <c r="I333" i="2"/>
  <c r="K333" i="2"/>
  <c r="G333" i="2"/>
  <c r="J333" i="2" s="1"/>
  <c r="I326" i="2"/>
  <c r="I327" i="2"/>
  <c r="I328" i="2"/>
  <c r="I329" i="2"/>
  <c r="I330" i="2"/>
  <c r="I331" i="2"/>
  <c r="I332" i="2"/>
  <c r="K326" i="2"/>
  <c r="K327" i="2"/>
  <c r="K328" i="2"/>
  <c r="K329" i="2"/>
  <c r="K330" i="2"/>
  <c r="K331" i="2"/>
  <c r="K332" i="2"/>
  <c r="G332" i="2"/>
  <c r="J332" i="2" s="1"/>
  <c r="G331" i="2"/>
  <c r="J331" i="2" s="1"/>
  <c r="G330" i="2"/>
  <c r="J330" i="2" s="1"/>
  <c r="G329" i="2"/>
  <c r="J329" i="2" s="1"/>
  <c r="G328" i="2"/>
  <c r="J328" i="2" s="1"/>
  <c r="G327" i="2"/>
  <c r="J327" i="2" s="1"/>
  <c r="G326" i="2"/>
  <c r="J326" i="2" s="1"/>
  <c r="G319" i="2"/>
  <c r="J319" i="2" s="1"/>
  <c r="I319" i="2"/>
  <c r="K319" i="2"/>
  <c r="G320" i="2"/>
  <c r="J320" i="2" s="1"/>
  <c r="I320" i="2"/>
  <c r="K320" i="2"/>
  <c r="G318" i="2"/>
  <c r="J318" i="2" s="1"/>
  <c r="I318" i="2"/>
  <c r="K318" i="2"/>
  <c r="G317" i="2"/>
  <c r="J317" i="2" s="1"/>
  <c r="I317" i="2"/>
  <c r="K317" i="2"/>
  <c r="G316" i="2"/>
  <c r="J316" i="2" s="1"/>
  <c r="I316" i="2"/>
  <c r="K316" i="2"/>
  <c r="G315" i="2"/>
  <c r="J315" i="2" s="1"/>
  <c r="I315" i="2"/>
  <c r="K315" i="2"/>
  <c r="G314" i="2"/>
  <c r="J314" i="2" s="1"/>
  <c r="I314" i="2"/>
  <c r="K314" i="2"/>
  <c r="G300" i="2"/>
  <c r="J300" i="2" s="1"/>
  <c r="I300" i="2"/>
  <c r="K300" i="2"/>
  <c r="G301" i="2"/>
  <c r="J301" i="2" s="1"/>
  <c r="I301" i="2"/>
  <c r="K301" i="2"/>
  <c r="G299" i="2"/>
  <c r="J299" i="2" s="1"/>
  <c r="I299" i="2"/>
  <c r="K299" i="2"/>
  <c r="G298" i="2"/>
  <c r="J298" i="2" s="1"/>
  <c r="I298" i="2"/>
  <c r="K298" i="2"/>
  <c r="G297" i="2"/>
  <c r="J297" i="2" s="1"/>
  <c r="G296" i="2"/>
  <c r="J296" i="2" s="1"/>
  <c r="I297" i="2"/>
  <c r="K297" i="2"/>
  <c r="I296" i="2"/>
  <c r="K296" i="2"/>
  <c r="I306" i="2"/>
  <c r="I307" i="2"/>
  <c r="I308" i="2"/>
  <c r="I309" i="2"/>
  <c r="I310" i="2"/>
  <c r="I311" i="2"/>
  <c r="I312" i="2"/>
  <c r="I313" i="2"/>
  <c r="K306" i="2"/>
  <c r="K307" i="2"/>
  <c r="K308" i="2"/>
  <c r="K309" i="2"/>
  <c r="K310" i="2"/>
  <c r="K311" i="2"/>
  <c r="K312" i="2"/>
  <c r="K313" i="2"/>
  <c r="G313" i="2"/>
  <c r="J313" i="2" s="1"/>
  <c r="G312" i="2"/>
  <c r="J312" i="2" s="1"/>
  <c r="G311" i="2"/>
  <c r="J311" i="2" s="1"/>
  <c r="G310" i="2"/>
  <c r="J310" i="2" s="1"/>
  <c r="G309" i="2"/>
  <c r="J309" i="2" s="1"/>
  <c r="G308" i="2"/>
  <c r="J308" i="2" s="1"/>
  <c r="G307" i="2"/>
  <c r="J307" i="2" s="1"/>
  <c r="G306" i="2"/>
  <c r="J306" i="2" s="1"/>
  <c r="G305" i="2"/>
  <c r="J305" i="2" s="1"/>
  <c r="G304" i="2"/>
  <c r="J304" i="2" s="1"/>
  <c r="I304" i="2"/>
  <c r="I305" i="2"/>
  <c r="K304" i="2"/>
  <c r="K305" i="2"/>
  <c r="I295" i="2"/>
  <c r="K295" i="2"/>
  <c r="G295" i="2"/>
  <c r="J295" i="2" s="1"/>
  <c r="I294" i="2"/>
  <c r="K294" i="2"/>
  <c r="G294" i="2"/>
  <c r="J294" i="2" s="1"/>
  <c r="I292" i="2"/>
  <c r="I293" i="2"/>
  <c r="K292" i="2"/>
  <c r="K293" i="2"/>
  <c r="G293" i="2"/>
  <c r="J293" i="2" s="1"/>
  <c r="G292" i="2"/>
  <c r="J292" i="2" s="1"/>
  <c r="G283" i="2"/>
  <c r="J283" i="2" s="1"/>
  <c r="I283" i="2"/>
  <c r="K283" i="2"/>
  <c r="G262" i="2"/>
  <c r="J262" i="2" s="1"/>
  <c r="I262" i="2"/>
  <c r="K262" i="2"/>
  <c r="G249" i="2"/>
  <c r="J249" i="2" s="1"/>
  <c r="I249" i="2"/>
  <c r="K249" i="2"/>
  <c r="G240" i="2"/>
  <c r="J240" i="2" s="1"/>
  <c r="I240" i="2"/>
  <c r="K240" i="2"/>
  <c r="O281" i="2"/>
  <c r="O271" i="2"/>
  <c r="G257" i="2"/>
  <c r="J257" i="2" s="1"/>
  <c r="K257" i="2"/>
  <c r="I257" i="2"/>
  <c r="K245" i="2"/>
  <c r="I245" i="2"/>
  <c r="G245" i="2"/>
  <c r="J245" i="2" s="1"/>
  <c r="G271" i="2"/>
  <c r="J271" i="2" s="1"/>
  <c r="G270" i="2"/>
  <c r="J270" i="2" s="1"/>
  <c r="K281" i="2"/>
  <c r="I281" i="2"/>
  <c r="G281" i="2"/>
  <c r="J281" i="2" s="1"/>
  <c r="G260" i="2"/>
  <c r="J260" i="2" s="1"/>
  <c r="G259" i="2"/>
  <c r="J259" i="2" s="1"/>
  <c r="G258" i="2"/>
  <c r="J258" i="2" s="1"/>
  <c r="K271" i="2"/>
  <c r="I271" i="2"/>
  <c r="K270" i="2"/>
  <c r="I270" i="2"/>
  <c r="K260" i="2"/>
  <c r="I260" i="2"/>
  <c r="K259" i="2"/>
  <c r="I259" i="2"/>
  <c r="G246" i="2"/>
  <c r="J246" i="2" s="1"/>
  <c r="G247" i="2"/>
  <c r="J247" i="2" s="1"/>
  <c r="G239" i="2"/>
  <c r="J239" i="2" s="1"/>
  <c r="K258" i="2"/>
  <c r="I258" i="2"/>
  <c r="K247" i="2"/>
  <c r="I247" i="2"/>
  <c r="K246" i="2"/>
  <c r="I246" i="2"/>
  <c r="K239" i="2"/>
  <c r="I239" i="2"/>
  <c r="K285" i="2"/>
  <c r="G285" i="2"/>
  <c r="J285" i="2" s="1"/>
  <c r="G269" i="2" l="1"/>
  <c r="J269" i="2" s="1"/>
  <c r="G268" i="2"/>
  <c r="J268" i="2" s="1"/>
  <c r="G256" i="2"/>
  <c r="J256" i="2" s="1"/>
  <c r="G254" i="2"/>
  <c r="J254" i="2" s="1"/>
  <c r="G255" i="2"/>
  <c r="J255" i="2" s="1"/>
  <c r="G244" i="2"/>
  <c r="J244" i="2" s="1"/>
  <c r="K269" i="2"/>
  <c r="I269" i="2"/>
  <c r="K268" i="2"/>
  <c r="I268" i="2"/>
  <c r="K256" i="2"/>
  <c r="I256" i="2"/>
  <c r="K255" i="2"/>
  <c r="I255" i="2"/>
  <c r="K254" i="2"/>
  <c r="I254" i="2"/>
  <c r="K244" i="2"/>
  <c r="I244" i="2"/>
  <c r="I291" i="2"/>
  <c r="K291" i="2"/>
  <c r="G291" i="2"/>
  <c r="J291" i="2" s="1"/>
  <c r="I286" i="2"/>
  <c r="I287" i="2"/>
  <c r="K286" i="2"/>
  <c r="K287" i="2"/>
  <c r="G287" i="2"/>
  <c r="J287" i="2" s="1"/>
  <c r="G286" i="2"/>
  <c r="J286" i="2" s="1"/>
  <c r="I289" i="2"/>
  <c r="I290" i="2"/>
  <c r="K289" i="2"/>
  <c r="K290" i="2"/>
  <c r="G290" i="2"/>
  <c r="J290" i="2" s="1"/>
  <c r="G289" i="2"/>
  <c r="J289" i="2" s="1"/>
  <c r="I288" i="2"/>
  <c r="K288" i="2"/>
  <c r="G288" i="2"/>
  <c r="J288" i="2" s="1"/>
  <c r="G284" i="2"/>
  <c r="J284" i="2" s="1"/>
  <c r="I284" i="2"/>
  <c r="K284" i="2"/>
  <c r="G282" i="2"/>
  <c r="J282" i="2" s="1"/>
  <c r="I282" i="2"/>
  <c r="K282" i="2"/>
  <c r="I279" i="2"/>
  <c r="I280" i="2"/>
  <c r="K279" i="2"/>
  <c r="K280" i="2"/>
  <c r="G280" i="2"/>
  <c r="J280" i="2" s="1"/>
  <c r="G279" i="2"/>
  <c r="J279" i="2" s="1"/>
  <c r="I276" i="2"/>
  <c r="I277" i="2"/>
  <c r="I278" i="2"/>
  <c r="K276" i="2"/>
  <c r="K277" i="2"/>
  <c r="K278" i="2"/>
  <c r="G278" i="2"/>
  <c r="J278" i="2" s="1"/>
  <c r="G277" i="2"/>
  <c r="J277" i="2" s="1"/>
  <c r="G276" i="2"/>
  <c r="J276" i="2" s="1"/>
  <c r="I275" i="2"/>
  <c r="K275" i="2"/>
  <c r="G275" i="2"/>
  <c r="J275" i="2" s="1"/>
  <c r="I273" i="2"/>
  <c r="I274" i="2"/>
  <c r="K273" i="2"/>
  <c r="K274" i="2"/>
  <c r="G274" i="2"/>
  <c r="J274" i="2" s="1"/>
  <c r="G273" i="2"/>
  <c r="J273" i="2" s="1"/>
  <c r="I266" i="2"/>
  <c r="I267" i="2"/>
  <c r="K266" i="2"/>
  <c r="K267" i="2"/>
  <c r="G267" i="2"/>
  <c r="J267" i="2" s="1"/>
  <c r="G266" i="2"/>
  <c r="J266" i="2" s="1"/>
  <c r="I263" i="2"/>
  <c r="I264" i="2"/>
  <c r="I265" i="2"/>
  <c r="K263" i="2"/>
  <c r="K264" i="2"/>
  <c r="K265" i="2"/>
  <c r="G265" i="2"/>
  <c r="J265" i="2" s="1"/>
  <c r="G264" i="2"/>
  <c r="J264" i="2" s="1"/>
  <c r="G263" i="2"/>
  <c r="J263" i="2" s="1"/>
  <c r="G272" i="2"/>
  <c r="J272" i="2" s="1"/>
  <c r="I272" i="2"/>
  <c r="K272" i="2"/>
  <c r="I242" i="2"/>
  <c r="I243" i="2"/>
  <c r="K242" i="2"/>
  <c r="K243" i="2"/>
  <c r="G243" i="2"/>
  <c r="J243" i="2" s="1"/>
  <c r="G242" i="2"/>
  <c r="J242" i="2" s="1"/>
  <c r="I241" i="2" l="1"/>
  <c r="K241" i="2"/>
  <c r="G241" i="2"/>
  <c r="J241" i="2" s="1"/>
  <c r="I252" i="2"/>
  <c r="I253" i="2"/>
  <c r="K252" i="2"/>
  <c r="K253" i="2"/>
  <c r="G253" i="2"/>
  <c r="J253" i="2" s="1"/>
  <c r="G252" i="2"/>
  <c r="J252" i="2" s="1"/>
  <c r="I251" i="2"/>
  <c r="K251" i="2"/>
  <c r="G251" i="2"/>
  <c r="J251" i="2" s="1"/>
  <c r="I250" i="2"/>
  <c r="K250" i="2"/>
  <c r="G250" i="2"/>
  <c r="J250" i="2" s="1"/>
  <c r="K95" i="5"/>
  <c r="H95" i="5"/>
  <c r="C95" i="5"/>
  <c r="K261" i="2"/>
  <c r="I261" i="2"/>
  <c r="G261" i="2"/>
  <c r="J261" i="2" s="1"/>
  <c r="G248" i="2"/>
  <c r="J248" i="2" s="1"/>
  <c r="I248" i="2"/>
  <c r="K248" i="2"/>
  <c r="C111" i="5"/>
  <c r="H111" i="5"/>
  <c r="K111" i="5"/>
  <c r="H110" i="5"/>
  <c r="C110" i="5"/>
  <c r="K110" i="5"/>
  <c r="E109" i="5"/>
  <c r="K109" i="5" s="1"/>
  <c r="C109" i="5"/>
  <c r="H109" i="5"/>
  <c r="Q9" i="5"/>
  <c r="P9" i="5"/>
  <c r="O9" i="5"/>
  <c r="R9" i="5" s="1"/>
  <c r="C108" i="5" l="1"/>
  <c r="C107" i="5"/>
  <c r="C106" i="5"/>
  <c r="H108" i="5"/>
  <c r="K108" i="5"/>
  <c r="H107" i="5"/>
  <c r="K107" i="5"/>
  <c r="H106" i="5"/>
  <c r="K106" i="5"/>
  <c r="C105" i="5"/>
  <c r="H105" i="5"/>
  <c r="K105" i="5"/>
  <c r="O226" i="2" l="1"/>
  <c r="O152" i="2"/>
  <c r="I237" i="2" l="1"/>
  <c r="I238" i="2"/>
  <c r="K237" i="2"/>
  <c r="K238" i="2"/>
  <c r="G238" i="2"/>
  <c r="J238" i="2" s="1"/>
  <c r="G237" i="2"/>
  <c r="J237" i="2" s="1"/>
  <c r="G231" i="2"/>
  <c r="J231" i="2" s="1"/>
  <c r="I232" i="2"/>
  <c r="I236" i="2"/>
  <c r="K232" i="2"/>
  <c r="K236" i="2"/>
  <c r="G236" i="2"/>
  <c r="J236" i="2" s="1"/>
  <c r="G232" i="2"/>
  <c r="J232" i="2" s="1"/>
  <c r="K235" i="2"/>
  <c r="I235" i="2"/>
  <c r="G235" i="2"/>
  <c r="J235" i="2" s="1"/>
  <c r="K230" i="2"/>
  <c r="I230" i="2"/>
  <c r="G230" i="2"/>
  <c r="J230" i="2" s="1"/>
  <c r="G234" i="2"/>
  <c r="J234" i="2" s="1"/>
  <c r="G233" i="2"/>
  <c r="J233" i="2" s="1"/>
  <c r="G229" i="2"/>
  <c r="J229" i="2" s="1"/>
  <c r="K234" i="2"/>
  <c r="I234" i="2"/>
  <c r="K233" i="2"/>
  <c r="I233" i="2"/>
  <c r="K229" i="2"/>
  <c r="I229" i="2"/>
  <c r="I231" i="2"/>
  <c r="K231" i="2"/>
  <c r="I225" i="2"/>
  <c r="K225" i="2"/>
  <c r="G225" i="2"/>
  <c r="J225" i="2" s="1"/>
  <c r="I224" i="2"/>
  <c r="K224" i="2"/>
  <c r="G224" i="2"/>
  <c r="J224" i="2" s="1"/>
  <c r="I212" i="2"/>
  <c r="K212" i="2"/>
  <c r="G212" i="2"/>
  <c r="J212" i="2" s="1"/>
  <c r="G227" i="2"/>
  <c r="J227" i="2" s="1"/>
  <c r="I227" i="2"/>
  <c r="K227" i="2"/>
  <c r="I228" i="2"/>
  <c r="K228" i="2"/>
  <c r="G228" i="2"/>
  <c r="J228" i="2" s="1"/>
  <c r="G226" i="2" l="1"/>
  <c r="J226" i="2" s="1"/>
  <c r="I226" i="2"/>
  <c r="K226" i="2"/>
  <c r="O213" i="2"/>
  <c r="I216" i="2"/>
  <c r="I217" i="2"/>
  <c r="I218" i="2"/>
  <c r="I219" i="2"/>
  <c r="I220" i="2"/>
  <c r="I221" i="2"/>
  <c r="I222" i="2"/>
  <c r="I223" i="2"/>
  <c r="K216" i="2"/>
  <c r="K217" i="2"/>
  <c r="K218" i="2"/>
  <c r="K219" i="2"/>
  <c r="K220" i="2"/>
  <c r="K221" i="2"/>
  <c r="K222" i="2"/>
  <c r="K223" i="2"/>
  <c r="G223" i="2"/>
  <c r="J223" i="2" s="1"/>
  <c r="G222" i="2"/>
  <c r="J222" i="2" s="1"/>
  <c r="G221" i="2"/>
  <c r="J221" i="2" s="1"/>
  <c r="G220" i="2"/>
  <c r="J220" i="2" s="1"/>
  <c r="G219" i="2"/>
  <c r="J219" i="2" s="1"/>
  <c r="G218" i="2"/>
  <c r="J218" i="2" s="1"/>
  <c r="G217" i="2"/>
  <c r="J217" i="2" s="1"/>
  <c r="G216" i="2"/>
  <c r="J216" i="2" s="1"/>
  <c r="I215" i="2"/>
  <c r="K215" i="2"/>
  <c r="G215" i="2"/>
  <c r="J215" i="2" s="1"/>
  <c r="I214" i="2"/>
  <c r="K214" i="2"/>
  <c r="G214" i="2"/>
  <c r="J214" i="2" s="1"/>
  <c r="K213" i="2"/>
  <c r="I213" i="2"/>
  <c r="G213" i="2"/>
  <c r="J213" i="2" s="1"/>
  <c r="K50" i="5"/>
  <c r="H50" i="5"/>
  <c r="C50" i="5"/>
  <c r="O209" i="2"/>
  <c r="G211" i="2"/>
  <c r="J211" i="2" s="1"/>
  <c r="I211" i="2"/>
  <c r="K211" i="2"/>
  <c r="G208" i="2"/>
  <c r="J208" i="2" s="1"/>
  <c r="G207" i="2"/>
  <c r="J207" i="2" s="1"/>
  <c r="I207" i="2"/>
  <c r="K207" i="2"/>
  <c r="G210" i="2"/>
  <c r="J210" i="2" s="1"/>
  <c r="I210" i="2"/>
  <c r="K210" i="2"/>
  <c r="G209" i="2"/>
  <c r="J209" i="2" s="1"/>
  <c r="I209" i="2"/>
  <c r="K209" i="2"/>
  <c r="I208" i="2"/>
  <c r="K208" i="2"/>
  <c r="I197" i="2"/>
  <c r="K197" i="2"/>
  <c r="G197" i="2"/>
  <c r="J197" i="2" s="1"/>
  <c r="I198" i="2"/>
  <c r="I199" i="2"/>
  <c r="I200" i="2"/>
  <c r="I201" i="2"/>
  <c r="I202" i="2"/>
  <c r="I203" i="2"/>
  <c r="I204" i="2"/>
  <c r="I205" i="2"/>
  <c r="I206" i="2"/>
  <c r="K198" i="2"/>
  <c r="K199" i="2"/>
  <c r="K200" i="2"/>
  <c r="K201" i="2"/>
  <c r="K202" i="2"/>
  <c r="K203" i="2"/>
  <c r="K204" i="2"/>
  <c r="K205" i="2"/>
  <c r="K206" i="2"/>
  <c r="G206" i="2"/>
  <c r="J206" i="2" s="1"/>
  <c r="G205" i="2"/>
  <c r="J205" i="2" s="1"/>
  <c r="G204" i="2"/>
  <c r="J204" i="2" s="1"/>
  <c r="G203" i="2"/>
  <c r="J203" i="2" s="1"/>
  <c r="G202" i="2"/>
  <c r="J202" i="2" s="1"/>
  <c r="G201" i="2"/>
  <c r="J201" i="2" s="1"/>
  <c r="G200" i="2"/>
  <c r="J200" i="2" s="1"/>
  <c r="G199" i="2"/>
  <c r="J199" i="2" s="1"/>
  <c r="G198" i="2"/>
  <c r="J198" i="2" s="1"/>
  <c r="K196" i="2" l="1"/>
  <c r="I196" i="2"/>
  <c r="G196" i="2"/>
  <c r="J196" i="2" s="1"/>
  <c r="G194" i="2"/>
  <c r="G193" i="2"/>
  <c r="G192" i="2"/>
  <c r="G191" i="2"/>
  <c r="G190" i="2"/>
  <c r="G189" i="2"/>
  <c r="G188" i="2"/>
  <c r="G187" i="2"/>
  <c r="G186" i="2"/>
  <c r="I165" i="2" l="1"/>
  <c r="K165" i="2"/>
  <c r="G165" i="2"/>
  <c r="J165" i="2" s="1"/>
  <c r="I167" i="2"/>
  <c r="K167" i="2"/>
  <c r="G167" i="2"/>
  <c r="J167" i="2" s="1"/>
  <c r="I173" i="2"/>
  <c r="K173" i="2"/>
  <c r="G173" i="2"/>
  <c r="J173" i="2" s="1"/>
  <c r="I176" i="2"/>
  <c r="K176" i="2"/>
  <c r="G176" i="2"/>
  <c r="J176" i="2" s="1"/>
  <c r="I180" i="2"/>
  <c r="K180" i="2"/>
  <c r="G180" i="2"/>
  <c r="J180" i="2" s="1"/>
  <c r="I185" i="2"/>
  <c r="K185" i="2"/>
  <c r="G185" i="2"/>
  <c r="J185" i="2" s="1"/>
  <c r="I184" i="2"/>
  <c r="K184" i="2"/>
  <c r="G184" i="2"/>
  <c r="J184" i="2" s="1"/>
  <c r="I181" i="2"/>
  <c r="I182" i="2"/>
  <c r="I183" i="2"/>
  <c r="K181" i="2"/>
  <c r="K182" i="2"/>
  <c r="K183" i="2"/>
  <c r="G183" i="2"/>
  <c r="J183" i="2" s="1"/>
  <c r="G182" i="2"/>
  <c r="J182" i="2" s="1"/>
  <c r="G181" i="2"/>
  <c r="J181" i="2" s="1"/>
  <c r="I178" i="2"/>
  <c r="K178" i="2"/>
  <c r="G178" i="2"/>
  <c r="J178" i="2" s="1"/>
  <c r="K179" i="2"/>
  <c r="I179" i="2"/>
  <c r="G179" i="2"/>
  <c r="J179" i="2" s="1"/>
  <c r="K177" i="2"/>
  <c r="I177" i="2"/>
  <c r="G177" i="2"/>
  <c r="J177" i="2" s="1"/>
  <c r="I195" i="2"/>
  <c r="K195" i="2"/>
  <c r="G195" i="2"/>
  <c r="J195" i="2" s="1"/>
  <c r="I194" i="2"/>
  <c r="K194" i="2"/>
  <c r="J194" i="2"/>
  <c r="I193" i="2"/>
  <c r="K193" i="2"/>
  <c r="J193" i="2"/>
  <c r="I192" i="2"/>
  <c r="K192" i="2"/>
  <c r="J192" i="2"/>
  <c r="G175" i="2"/>
  <c r="J175" i="2" s="1"/>
  <c r="I175" i="2"/>
  <c r="K175" i="2"/>
  <c r="G174" i="2"/>
  <c r="J174" i="2" s="1"/>
  <c r="I174" i="2"/>
  <c r="K174" i="2"/>
  <c r="J191" i="2"/>
  <c r="I191" i="2"/>
  <c r="K191" i="2"/>
  <c r="G172" i="2" l="1"/>
  <c r="J172" i="2" s="1"/>
  <c r="I172" i="2"/>
  <c r="K172" i="2"/>
  <c r="G168" i="2"/>
  <c r="J168" i="2" s="1"/>
  <c r="I168" i="2"/>
  <c r="K168" i="2"/>
  <c r="G171" i="2"/>
  <c r="J171" i="2" s="1"/>
  <c r="I171" i="2"/>
  <c r="K171" i="2"/>
  <c r="J190" i="2"/>
  <c r="I190" i="2"/>
  <c r="K190" i="2"/>
  <c r="G170" i="2"/>
  <c r="J170" i="2" s="1"/>
  <c r="I170" i="2"/>
  <c r="K170" i="2"/>
  <c r="G169" i="2"/>
  <c r="J169" i="2" s="1"/>
  <c r="I169" i="2"/>
  <c r="K169" i="2"/>
  <c r="G166" i="2"/>
  <c r="J166" i="2" s="1"/>
  <c r="I166" i="2"/>
  <c r="K166" i="2"/>
  <c r="G162" i="2"/>
  <c r="J162" i="2" s="1"/>
  <c r="I162" i="2"/>
  <c r="K162" i="2"/>
  <c r="G164" i="2"/>
  <c r="J164" i="2" s="1"/>
  <c r="I164" i="2"/>
  <c r="K164" i="2"/>
  <c r="G163" i="2"/>
  <c r="J163" i="2" s="1"/>
  <c r="I163" i="2"/>
  <c r="K163" i="2"/>
  <c r="G147" i="2"/>
  <c r="J147" i="2" s="1"/>
  <c r="I147" i="2"/>
  <c r="K147" i="2"/>
  <c r="G143" i="2"/>
  <c r="J143" i="2" s="1"/>
  <c r="I143" i="2"/>
  <c r="K143" i="2"/>
  <c r="O156" i="2"/>
  <c r="G149" i="2"/>
  <c r="J149" i="2" s="1"/>
  <c r="I149" i="2"/>
  <c r="K149" i="2"/>
  <c r="G145" i="2"/>
  <c r="J145" i="2" s="1"/>
  <c r="I145" i="2"/>
  <c r="K145" i="2"/>
  <c r="G161" i="2"/>
  <c r="J161" i="2" s="1"/>
  <c r="I161" i="2"/>
  <c r="K161" i="2"/>
  <c r="G160" i="2"/>
  <c r="J160" i="2" s="1"/>
  <c r="I160" i="2"/>
  <c r="K160" i="2"/>
  <c r="G158" i="2" l="1"/>
  <c r="J158" i="2" s="1"/>
  <c r="G157" i="2"/>
  <c r="J157" i="2" s="1"/>
  <c r="G159" i="2"/>
  <c r="J159" i="2" s="1"/>
  <c r="I158" i="2"/>
  <c r="K158" i="2"/>
  <c r="I157" i="2"/>
  <c r="K157" i="2"/>
  <c r="I159" i="2"/>
  <c r="K159" i="2"/>
  <c r="G155" i="2"/>
  <c r="J155" i="2" s="1"/>
  <c r="G154" i="2"/>
  <c r="J154" i="2" s="1"/>
  <c r="G156" i="2"/>
  <c r="J156" i="2" s="1"/>
  <c r="I155" i="2"/>
  <c r="K155" i="2"/>
  <c r="I154" i="2"/>
  <c r="K154" i="2"/>
  <c r="I156" i="2"/>
  <c r="K156" i="2"/>
  <c r="G153" i="2"/>
  <c r="J153" i="2" s="1"/>
  <c r="I153" i="2"/>
  <c r="K153" i="2"/>
  <c r="J189" i="2"/>
  <c r="I189" i="2"/>
  <c r="K189" i="2"/>
  <c r="J188" i="2"/>
  <c r="I188" i="2"/>
  <c r="K188" i="2"/>
  <c r="G151" i="2"/>
  <c r="J151" i="2" s="1"/>
  <c r="G150" i="2"/>
  <c r="J150" i="2" s="1"/>
  <c r="G152" i="2"/>
  <c r="J152" i="2" s="1"/>
  <c r="I151" i="2"/>
  <c r="K151" i="2"/>
  <c r="I150" i="2"/>
  <c r="K150" i="2"/>
  <c r="I152" i="2"/>
  <c r="K152" i="2"/>
  <c r="G146" i="2"/>
  <c r="J146" i="2" s="1"/>
  <c r="G148" i="2"/>
  <c r="J148" i="2" s="1"/>
  <c r="I146" i="2"/>
  <c r="K146" i="2"/>
  <c r="I148" i="2"/>
  <c r="K148" i="2"/>
  <c r="G144" i="2"/>
  <c r="J144" i="2" s="1"/>
  <c r="G142" i="2"/>
  <c r="J142" i="2" s="1"/>
  <c r="I142" i="2"/>
  <c r="K142" i="2"/>
  <c r="I144" i="2"/>
  <c r="K144" i="2"/>
  <c r="G141" i="2"/>
  <c r="J141" i="2" s="1"/>
  <c r="G140" i="2"/>
  <c r="J140" i="2" s="1"/>
  <c r="G139" i="2"/>
  <c r="J139" i="2" s="1"/>
  <c r="I141" i="2"/>
  <c r="K141" i="2"/>
  <c r="I140" i="2"/>
  <c r="K140" i="2"/>
  <c r="I139" i="2"/>
  <c r="K139" i="2"/>
  <c r="J187" i="2"/>
  <c r="I187" i="2"/>
  <c r="K187" i="2"/>
  <c r="J186" i="2"/>
  <c r="I186" i="2"/>
  <c r="K186" i="2"/>
  <c r="I138" i="2"/>
  <c r="K138" i="2"/>
  <c r="G138" i="2"/>
  <c r="J138" i="2" s="1"/>
  <c r="C101" i="5" l="1"/>
  <c r="H101" i="5"/>
  <c r="K101" i="5"/>
  <c r="C104" i="5" l="1"/>
  <c r="C103" i="5"/>
  <c r="C102" i="5"/>
  <c r="H102" i="5"/>
  <c r="H103" i="5"/>
  <c r="H104" i="5"/>
  <c r="K102" i="5"/>
  <c r="K103" i="5"/>
  <c r="K104" i="5"/>
  <c r="K100" i="5" l="1"/>
  <c r="H100" i="5"/>
  <c r="C100" i="5"/>
  <c r="K99" i="5"/>
  <c r="H99" i="5"/>
  <c r="C99" i="5"/>
  <c r="C96" i="5" l="1"/>
  <c r="H96" i="5"/>
  <c r="C97" i="5"/>
  <c r="H97" i="5"/>
  <c r="C98" i="5"/>
  <c r="H98" i="5"/>
  <c r="K98" i="5"/>
  <c r="K97" i="5"/>
  <c r="K96" i="5"/>
  <c r="C94" i="5" l="1"/>
  <c r="H94" i="5"/>
  <c r="K94" i="5"/>
  <c r="C93" i="5"/>
  <c r="H93" i="5"/>
  <c r="K93" i="5"/>
  <c r="C92" i="5"/>
  <c r="H92" i="5"/>
  <c r="K92" i="5"/>
  <c r="K91" i="5" l="1"/>
  <c r="H91" i="5"/>
  <c r="C91" i="5"/>
  <c r="K90" i="5"/>
  <c r="H90" i="5"/>
  <c r="C90" i="5"/>
  <c r="C89" i="5"/>
  <c r="H89" i="5"/>
  <c r="K89" i="5"/>
  <c r="I129" i="2"/>
  <c r="I130" i="2"/>
  <c r="I131" i="2"/>
  <c r="I132" i="2"/>
  <c r="I133" i="2"/>
  <c r="I134" i="2"/>
  <c r="I135" i="2"/>
  <c r="I136" i="2"/>
  <c r="I137" i="2"/>
  <c r="K129" i="2"/>
  <c r="K130" i="2"/>
  <c r="K131" i="2"/>
  <c r="K132" i="2"/>
  <c r="K133" i="2"/>
  <c r="K134" i="2"/>
  <c r="K135" i="2"/>
  <c r="K136" i="2"/>
  <c r="K137" i="2"/>
  <c r="G137" i="2"/>
  <c r="J137" i="2" s="1"/>
  <c r="G136" i="2"/>
  <c r="J136" i="2" s="1"/>
  <c r="G135" i="2"/>
  <c r="J135" i="2" s="1"/>
  <c r="G134" i="2"/>
  <c r="J134" i="2" s="1"/>
  <c r="G133" i="2"/>
  <c r="J133" i="2" s="1"/>
  <c r="G132" i="2"/>
  <c r="J132" i="2" s="1"/>
  <c r="G131" i="2"/>
  <c r="J131" i="2" s="1"/>
  <c r="G130" i="2"/>
  <c r="J130" i="2" s="1"/>
  <c r="G129" i="2"/>
  <c r="J129" i="2" s="1"/>
  <c r="G128" i="2" l="1"/>
  <c r="J128" i="2" s="1"/>
  <c r="I128" i="2"/>
  <c r="K128" i="2"/>
  <c r="G127" i="2"/>
  <c r="J127" i="2" s="1"/>
  <c r="I127" i="2"/>
  <c r="K127" i="2"/>
  <c r="G126" i="2"/>
  <c r="J126" i="2" s="1"/>
  <c r="I126" i="2"/>
  <c r="K126" i="2"/>
  <c r="I125" i="2"/>
  <c r="K125" i="2"/>
  <c r="G125" i="2"/>
  <c r="J125" i="2" s="1"/>
  <c r="I116" i="2"/>
  <c r="I117" i="2"/>
  <c r="I118" i="2"/>
  <c r="I119" i="2"/>
  <c r="I120" i="2"/>
  <c r="I121" i="2"/>
  <c r="I122" i="2"/>
  <c r="I123" i="2"/>
  <c r="I124" i="2"/>
  <c r="K116" i="2"/>
  <c r="K117" i="2"/>
  <c r="K118" i="2"/>
  <c r="K119" i="2"/>
  <c r="K120" i="2"/>
  <c r="K121" i="2"/>
  <c r="K122" i="2"/>
  <c r="K123" i="2"/>
  <c r="K124" i="2"/>
  <c r="G124" i="2"/>
  <c r="J124" i="2" s="1"/>
  <c r="G123" i="2"/>
  <c r="J123" i="2" s="1"/>
  <c r="G122" i="2"/>
  <c r="J122" i="2" s="1"/>
  <c r="G121" i="2"/>
  <c r="J121" i="2" s="1"/>
  <c r="G120" i="2"/>
  <c r="J120" i="2" s="1"/>
  <c r="G119" i="2"/>
  <c r="J119" i="2" s="1"/>
  <c r="G118" i="2"/>
  <c r="J118" i="2" s="1"/>
  <c r="G117" i="2"/>
  <c r="J117" i="2" s="1"/>
  <c r="G116" i="2"/>
  <c r="J116" i="2" s="1"/>
  <c r="G115" i="2"/>
  <c r="J115" i="2" s="1"/>
  <c r="K115" i="2"/>
  <c r="I115" i="2"/>
  <c r="G114" i="2"/>
  <c r="J114" i="2" s="1"/>
  <c r="K114" i="2"/>
  <c r="I114" i="2"/>
  <c r="G113" i="2"/>
  <c r="J113" i="2" s="1"/>
  <c r="K113" i="2"/>
  <c r="I113" i="2"/>
  <c r="C88" i="5" l="1"/>
  <c r="C87" i="5"/>
  <c r="C86" i="5"/>
  <c r="H86" i="5"/>
  <c r="H87" i="5"/>
  <c r="H88" i="5"/>
  <c r="K86" i="5"/>
  <c r="K87" i="5"/>
  <c r="K88" i="5"/>
  <c r="E5" i="5" l="1"/>
  <c r="K5" i="5" s="1"/>
  <c r="E6" i="5"/>
  <c r="K6" i="5" s="1"/>
  <c r="E7" i="5"/>
  <c r="K7" i="5" s="1"/>
  <c r="E8" i="5"/>
  <c r="K8" i="5" s="1"/>
  <c r="E9" i="5"/>
  <c r="K9" i="5" s="1"/>
  <c r="E10" i="5"/>
  <c r="K10" i="5" s="1"/>
  <c r="E11" i="5"/>
  <c r="K11" i="5" s="1"/>
  <c r="E12" i="5"/>
  <c r="K12" i="5" s="1"/>
  <c r="E13" i="5"/>
  <c r="K13" i="5" s="1"/>
  <c r="K14" i="5"/>
  <c r="K15" i="5"/>
  <c r="E16" i="5"/>
  <c r="K16" i="5" s="1"/>
  <c r="E17" i="5"/>
  <c r="K17" i="5" s="1"/>
  <c r="K18" i="5"/>
  <c r="K19" i="5"/>
  <c r="E20" i="5"/>
  <c r="K20" i="5" s="1"/>
  <c r="E21" i="5"/>
  <c r="K21" i="5" s="1"/>
  <c r="E22" i="5"/>
  <c r="K22" i="5" s="1"/>
  <c r="E23" i="5"/>
  <c r="K23" i="5" s="1"/>
  <c r="E24" i="5"/>
  <c r="K24" i="5" s="1"/>
  <c r="E25" i="5"/>
  <c r="K25" i="5" s="1"/>
  <c r="E26" i="5"/>
  <c r="K26" i="5" s="1"/>
  <c r="E27" i="5"/>
  <c r="K27" i="5" s="1"/>
  <c r="E28" i="5"/>
  <c r="K28" i="5" s="1"/>
  <c r="E29" i="5"/>
  <c r="K29" i="5" s="1"/>
  <c r="E30" i="5"/>
  <c r="K30" i="5" s="1"/>
  <c r="E31" i="5"/>
  <c r="K31" i="5" s="1"/>
  <c r="E32" i="5"/>
  <c r="K32" i="5" s="1"/>
  <c r="K33" i="5"/>
  <c r="K34" i="5"/>
  <c r="K35" i="5"/>
  <c r="E36" i="5"/>
  <c r="K36" i="5" s="1"/>
  <c r="E37" i="5"/>
  <c r="K37" i="5" s="1"/>
  <c r="E38" i="5"/>
  <c r="K38" i="5" s="1"/>
  <c r="E39" i="5"/>
  <c r="K39" i="5" s="1"/>
  <c r="E40" i="5"/>
  <c r="K40" i="5" s="1"/>
  <c r="E41" i="5"/>
  <c r="K41" i="5" s="1"/>
  <c r="K42" i="5"/>
  <c r="K43" i="5"/>
  <c r="K44" i="5"/>
  <c r="K45" i="5"/>
  <c r="K46" i="5"/>
  <c r="K47" i="5"/>
  <c r="K48" i="5"/>
  <c r="K49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E79" i="5"/>
  <c r="K79" i="5" s="1"/>
  <c r="E80" i="5"/>
  <c r="K80" i="5" s="1"/>
  <c r="E81" i="5"/>
  <c r="K81" i="5" s="1"/>
  <c r="E82" i="5"/>
  <c r="K82" i="5" s="1"/>
  <c r="E83" i="5"/>
  <c r="K83" i="5" s="1"/>
  <c r="E84" i="5"/>
  <c r="K84" i="5" s="1"/>
  <c r="E85" i="5"/>
  <c r="K85" i="5" s="1"/>
  <c r="O109" i="2"/>
  <c r="C82" i="5"/>
  <c r="H82" i="5"/>
  <c r="C78" i="5"/>
  <c r="H78" i="5"/>
  <c r="C74" i="5"/>
  <c r="H74" i="5"/>
  <c r="K93" i="2"/>
  <c r="I93" i="2"/>
  <c r="G93" i="2"/>
  <c r="J93" i="2" s="1"/>
  <c r="I111" i="2"/>
  <c r="I112" i="2"/>
  <c r="K111" i="2"/>
  <c r="K112" i="2"/>
  <c r="G112" i="2"/>
  <c r="J112" i="2" s="1"/>
  <c r="G111" i="2"/>
  <c r="J111" i="2" s="1"/>
  <c r="G110" i="2"/>
  <c r="J110" i="2" s="1"/>
  <c r="I110" i="2"/>
  <c r="K110" i="2"/>
  <c r="G109" i="2"/>
  <c r="J109" i="2" s="1"/>
  <c r="I109" i="2"/>
  <c r="K109" i="2"/>
  <c r="G108" i="2"/>
  <c r="J108" i="2" s="1"/>
  <c r="I108" i="2"/>
  <c r="K108" i="2"/>
  <c r="G107" i="2"/>
  <c r="J107" i="2" s="1"/>
  <c r="I107" i="2"/>
  <c r="K107" i="2"/>
  <c r="G106" i="2"/>
  <c r="J106" i="2" s="1"/>
  <c r="I106" i="2"/>
  <c r="K106" i="2"/>
  <c r="I105" i="2"/>
  <c r="K105" i="2"/>
  <c r="G105" i="2"/>
  <c r="J105" i="2" s="1"/>
  <c r="I104" i="2"/>
  <c r="K104" i="2"/>
  <c r="G104" i="2"/>
  <c r="J104" i="2" s="1"/>
  <c r="I101" i="2"/>
  <c r="I102" i="2"/>
  <c r="I103" i="2"/>
  <c r="K101" i="2"/>
  <c r="K102" i="2"/>
  <c r="K103" i="2"/>
  <c r="G103" i="2"/>
  <c r="J103" i="2" s="1"/>
  <c r="G102" i="2"/>
  <c r="J102" i="2" s="1"/>
  <c r="G101" i="2"/>
  <c r="J101" i="2" s="1"/>
  <c r="I97" i="2"/>
  <c r="I98" i="2"/>
  <c r="I99" i="2"/>
  <c r="I100" i="2"/>
  <c r="K97" i="2"/>
  <c r="K98" i="2"/>
  <c r="K99" i="2"/>
  <c r="K100" i="2"/>
  <c r="G100" i="2"/>
  <c r="J100" i="2" s="1"/>
  <c r="G99" i="2"/>
  <c r="J99" i="2" s="1"/>
  <c r="G98" i="2"/>
  <c r="J98" i="2" s="1"/>
  <c r="G97" i="2"/>
  <c r="J97" i="2" s="1"/>
  <c r="G96" i="2"/>
  <c r="J96" i="2" s="1"/>
  <c r="I96" i="2"/>
  <c r="K96" i="2"/>
  <c r="G95" i="2"/>
  <c r="J95" i="2" s="1"/>
  <c r="I95" i="2"/>
  <c r="K95" i="2"/>
  <c r="G94" i="2"/>
  <c r="J94" i="2" s="1"/>
  <c r="I94" i="2"/>
  <c r="K94" i="2"/>
  <c r="I92" i="2"/>
  <c r="K92" i="2"/>
  <c r="G92" i="2"/>
  <c r="J92" i="2" s="1"/>
  <c r="G91" i="2"/>
  <c r="J91" i="2" s="1"/>
  <c r="K91" i="2"/>
  <c r="I91" i="2"/>
  <c r="G90" i="2"/>
  <c r="J90" i="2" s="1"/>
  <c r="K90" i="2"/>
  <c r="I90" i="2"/>
  <c r="G89" i="2"/>
  <c r="J89" i="2" s="1"/>
  <c r="K89" i="2"/>
  <c r="I89" i="2"/>
  <c r="G88" i="2"/>
  <c r="J88" i="2" s="1"/>
  <c r="K88" i="2"/>
  <c r="I88" i="2"/>
  <c r="H85" i="5"/>
  <c r="C85" i="5"/>
  <c r="H84" i="5"/>
  <c r="C84" i="5"/>
  <c r="H83" i="5"/>
  <c r="C83" i="5"/>
  <c r="I83" i="2"/>
  <c r="I84" i="2"/>
  <c r="I85" i="2"/>
  <c r="I86" i="2"/>
  <c r="I87" i="2"/>
  <c r="K83" i="2"/>
  <c r="K84" i="2"/>
  <c r="K85" i="2"/>
  <c r="K86" i="2"/>
  <c r="K87" i="2"/>
  <c r="G87" i="2"/>
  <c r="J87" i="2" s="1"/>
  <c r="G86" i="2"/>
  <c r="J86" i="2" s="1"/>
  <c r="G85" i="2"/>
  <c r="J85" i="2" s="1"/>
  <c r="G84" i="2"/>
  <c r="J84" i="2" s="1"/>
  <c r="G83" i="2"/>
  <c r="J83" i="2" s="1"/>
  <c r="I82" i="2"/>
  <c r="K82" i="2"/>
  <c r="G82" i="2"/>
  <c r="J82" i="2" s="1"/>
  <c r="C77" i="5"/>
  <c r="C76" i="5"/>
  <c r="C75" i="5"/>
  <c r="C73" i="5"/>
  <c r="H75" i="5"/>
  <c r="H76" i="5"/>
  <c r="H77" i="5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H81" i="5"/>
  <c r="C81" i="5"/>
  <c r="H80" i="5"/>
  <c r="C80" i="5"/>
  <c r="C79" i="5"/>
  <c r="H79" i="5"/>
  <c r="H73" i="5"/>
  <c r="H72" i="5"/>
  <c r="C72" i="5"/>
  <c r="C71" i="5"/>
  <c r="H71" i="5"/>
  <c r="K69" i="2"/>
  <c r="G69" i="2"/>
  <c r="J69" i="2" s="1"/>
  <c r="K43" i="2"/>
  <c r="G43" i="2"/>
  <c r="J43" i="2" s="1"/>
  <c r="Q7" i="5"/>
  <c r="Q6" i="5"/>
  <c r="Q5" i="5"/>
  <c r="P5" i="5"/>
  <c r="C70" i="5"/>
  <c r="C69" i="5"/>
  <c r="H70" i="5"/>
  <c r="H69" i="5"/>
  <c r="H68" i="5"/>
  <c r="C68" i="5"/>
  <c r="H67" i="5"/>
  <c r="C67" i="5"/>
  <c r="H66" i="5"/>
  <c r="C66" i="5"/>
  <c r="G80" i="2"/>
  <c r="J80" i="2" s="1"/>
  <c r="K78" i="2"/>
  <c r="K79" i="2"/>
  <c r="K73" i="2"/>
  <c r="K74" i="2"/>
  <c r="K75" i="2"/>
  <c r="K80" i="2"/>
  <c r="G75" i="2"/>
  <c r="J75" i="2" s="1"/>
  <c r="G74" i="2"/>
  <c r="J74" i="2" s="1"/>
  <c r="G73" i="2"/>
  <c r="J73" i="2" s="1"/>
  <c r="G79" i="2"/>
  <c r="J79" i="2" s="1"/>
  <c r="G78" i="2"/>
  <c r="J78" i="2" s="1"/>
  <c r="G81" i="2"/>
  <c r="J81" i="2" s="1"/>
  <c r="K81" i="2"/>
  <c r="G77" i="2"/>
  <c r="J77" i="2" s="1"/>
  <c r="K77" i="2"/>
  <c r="G76" i="2"/>
  <c r="J76" i="2" s="1"/>
  <c r="K76" i="2"/>
  <c r="G72" i="2"/>
  <c r="J72" i="2" s="1"/>
  <c r="K72" i="2"/>
  <c r="G71" i="2"/>
  <c r="J71" i="2" s="1"/>
  <c r="K71" i="2"/>
  <c r="G70" i="2"/>
  <c r="J70" i="2" s="1"/>
  <c r="K70" i="2"/>
  <c r="G62" i="2"/>
  <c r="J62" i="2" s="1"/>
  <c r="K62" i="2"/>
  <c r="G61" i="2"/>
  <c r="J61" i="2" s="1"/>
  <c r="K61" i="2"/>
  <c r="K57" i="2"/>
  <c r="G57" i="2"/>
  <c r="J57" i="2" s="1"/>
  <c r="K67" i="2"/>
  <c r="K68" i="2"/>
  <c r="K59" i="2"/>
  <c r="K60" i="2"/>
  <c r="K63" i="2"/>
  <c r="G63" i="2"/>
  <c r="J63" i="2" s="1"/>
  <c r="G60" i="2"/>
  <c r="J60" i="2" s="1"/>
  <c r="G59" i="2"/>
  <c r="J59" i="2" s="1"/>
  <c r="G68" i="2"/>
  <c r="J68" i="2" s="1"/>
  <c r="G67" i="2"/>
  <c r="J67" i="2" s="1"/>
  <c r="K64" i="2"/>
  <c r="K65" i="2"/>
  <c r="G65" i="2"/>
  <c r="J65" i="2" s="1"/>
  <c r="G64" i="2"/>
  <c r="J64" i="2" s="1"/>
  <c r="G66" i="2"/>
  <c r="J66" i="2" s="1"/>
  <c r="K66" i="2"/>
  <c r="G58" i="2"/>
  <c r="J58" i="2" s="1"/>
  <c r="K58" i="2"/>
  <c r="K51" i="2"/>
  <c r="K52" i="2"/>
  <c r="G52" i="2"/>
  <c r="J52" i="2" s="1"/>
  <c r="G51" i="2"/>
  <c r="J51" i="2" s="1"/>
  <c r="K50" i="2"/>
  <c r="G50" i="2"/>
  <c r="J50" i="2" s="1"/>
  <c r="K48" i="2"/>
  <c r="K49" i="2"/>
  <c r="G49" i="2"/>
  <c r="J49" i="2" s="1"/>
  <c r="G48" i="2"/>
  <c r="J48" i="2" s="1"/>
  <c r="K55" i="2"/>
  <c r="K56" i="2"/>
  <c r="G56" i="2"/>
  <c r="J56" i="2" s="1"/>
  <c r="G55" i="2"/>
  <c r="J55" i="2" s="1"/>
  <c r="G47" i="2"/>
  <c r="J47" i="2" s="1"/>
  <c r="K47" i="2"/>
  <c r="G46" i="2"/>
  <c r="J46" i="2" s="1"/>
  <c r="K46" i="2"/>
  <c r="G37" i="2"/>
  <c r="J37" i="2" s="1"/>
  <c r="K37" i="2"/>
  <c r="G36" i="2"/>
  <c r="J36" i="2" s="1"/>
  <c r="K36" i="2"/>
  <c r="G45" i="2"/>
  <c r="J45" i="2" s="1"/>
  <c r="K45" i="2"/>
  <c r="G44" i="2"/>
  <c r="J44" i="2" s="1"/>
  <c r="K44" i="2"/>
  <c r="G54" i="2"/>
  <c r="J54" i="2" s="1"/>
  <c r="K54" i="2"/>
  <c r="G53" i="2"/>
  <c r="J53" i="2" s="1"/>
  <c r="K53" i="2"/>
  <c r="K38" i="2"/>
  <c r="G38" i="2"/>
  <c r="J38" i="2" s="1"/>
  <c r="K41" i="2"/>
  <c r="K42" i="2"/>
  <c r="G42" i="2"/>
  <c r="J42" i="2" s="1"/>
  <c r="G41" i="2"/>
  <c r="J41" i="2" s="1"/>
  <c r="G40" i="2"/>
  <c r="J40" i="2" s="1"/>
  <c r="K40" i="2"/>
  <c r="G39" i="2"/>
  <c r="J39" i="2" s="1"/>
  <c r="K39" i="2"/>
  <c r="P6" i="5"/>
  <c r="P7" i="5"/>
  <c r="O7" i="5"/>
  <c r="R7" i="5" s="1"/>
  <c r="O6" i="5"/>
  <c r="O5" i="5"/>
  <c r="C33" i="5"/>
  <c r="H33" i="5"/>
  <c r="C34" i="5"/>
  <c r="H34" i="5"/>
  <c r="C35" i="5"/>
  <c r="H35" i="5"/>
  <c r="C65" i="5"/>
  <c r="H65" i="5"/>
  <c r="C63" i="5"/>
  <c r="H63" i="5"/>
  <c r="C64" i="5"/>
  <c r="H64" i="5"/>
  <c r="R8" i="5"/>
  <c r="H62" i="5"/>
  <c r="C62" i="5"/>
  <c r="H61" i="5"/>
  <c r="C61" i="5"/>
  <c r="H60" i="5"/>
  <c r="C60" i="5"/>
  <c r="H59" i="5"/>
  <c r="C59" i="5"/>
  <c r="C58" i="5"/>
  <c r="H58" i="5"/>
  <c r="C57" i="5"/>
  <c r="H57" i="5"/>
  <c r="H56" i="5"/>
  <c r="C56" i="5"/>
  <c r="H55" i="5"/>
  <c r="C55" i="5"/>
  <c r="H54" i="5"/>
  <c r="C54" i="5"/>
  <c r="C53" i="5"/>
  <c r="H53" i="5"/>
  <c r="C52" i="5"/>
  <c r="H52" i="5"/>
  <c r="C51" i="5"/>
  <c r="H51" i="5"/>
  <c r="H49" i="5"/>
  <c r="C49" i="5"/>
  <c r="H48" i="5"/>
  <c r="C48" i="5"/>
  <c r="C47" i="5"/>
  <c r="H47" i="5"/>
  <c r="H46" i="5"/>
  <c r="C46" i="5"/>
  <c r="H45" i="5"/>
  <c r="C45" i="5"/>
  <c r="H44" i="5"/>
  <c r="C44" i="5"/>
  <c r="C43" i="5"/>
  <c r="H43" i="5"/>
  <c r="C42" i="5"/>
  <c r="H42" i="5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7" i="2"/>
  <c r="K8" i="2"/>
  <c r="H11" i="5"/>
  <c r="C11" i="5"/>
  <c r="H6" i="5"/>
  <c r="H7" i="5"/>
  <c r="H8" i="5"/>
  <c r="H9" i="5"/>
  <c r="H10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6" i="5"/>
  <c r="H37" i="5"/>
  <c r="H38" i="5"/>
  <c r="H39" i="5"/>
  <c r="H40" i="5"/>
  <c r="H41" i="5"/>
  <c r="H5" i="5"/>
  <c r="C6" i="5"/>
  <c r="C7" i="5"/>
  <c r="C8" i="5"/>
  <c r="C9" i="5"/>
  <c r="C10" i="5"/>
  <c r="C12" i="5"/>
  <c r="C13" i="5"/>
  <c r="C14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6" i="5"/>
  <c r="C37" i="5"/>
  <c r="C38" i="5"/>
  <c r="C39" i="5"/>
  <c r="C40" i="5"/>
  <c r="C41" i="5"/>
  <c r="C5" i="5"/>
  <c r="G35" i="2"/>
  <c r="J35" i="2" s="1"/>
  <c r="G34" i="2"/>
  <c r="J34" i="2" s="1"/>
  <c r="G33" i="2"/>
  <c r="J33" i="2" s="1"/>
  <c r="G32" i="2"/>
  <c r="J32" i="2" s="1"/>
  <c r="G31" i="2"/>
  <c r="J31" i="2" s="1"/>
  <c r="G30" i="2"/>
  <c r="J30" i="2" s="1"/>
  <c r="G29" i="2"/>
  <c r="J29" i="2" s="1"/>
  <c r="G28" i="2"/>
  <c r="J28" i="2" s="1"/>
  <c r="G27" i="2"/>
  <c r="J27" i="2" s="1"/>
  <c r="G26" i="2"/>
  <c r="J26" i="2" s="1"/>
  <c r="G22" i="2"/>
  <c r="J22" i="2" s="1"/>
  <c r="G21" i="2"/>
  <c r="J21" i="2" s="1"/>
  <c r="G20" i="2"/>
  <c r="J20" i="2" s="1"/>
  <c r="G19" i="2"/>
  <c r="J19" i="2" s="1"/>
  <c r="G18" i="2"/>
  <c r="J18" i="2" s="1"/>
  <c r="G17" i="2"/>
  <c r="J17" i="2" s="1"/>
  <c r="G12" i="2"/>
  <c r="J12" i="2" s="1"/>
  <c r="G11" i="2"/>
  <c r="J11" i="2" s="1"/>
  <c r="G10" i="2"/>
  <c r="J10" i="2" s="1"/>
  <c r="G9" i="2"/>
  <c r="J9" i="2" s="1"/>
  <c r="G8" i="2"/>
  <c r="J8" i="2" s="1"/>
  <c r="G7" i="2"/>
  <c r="J7" i="2" s="1"/>
  <c r="G25" i="2"/>
  <c r="J25" i="2" s="1"/>
  <c r="G24" i="2"/>
  <c r="J24" i="2" s="1"/>
  <c r="G23" i="2"/>
  <c r="J23" i="2" s="1"/>
  <c r="G16" i="2"/>
  <c r="J16" i="2" s="1"/>
  <c r="G15" i="2"/>
  <c r="J15" i="2" s="1"/>
  <c r="G14" i="2"/>
  <c r="J14" i="2" s="1"/>
  <c r="G13" i="2"/>
  <c r="J13" i="2" s="1"/>
  <c r="P435" i="2" l="1" a="1"/>
  <c r="P435" i="2" s="1"/>
  <c r="Q435" i="2" s="1"/>
  <c r="P433" i="2" a="1"/>
  <c r="P433" i="2" s="1"/>
  <c r="Q433" i="2" s="1"/>
  <c r="P427" i="2" a="1"/>
  <c r="P427" i="2" s="1"/>
  <c r="Q427" i="2" s="1"/>
  <c r="P436" i="2" a="1"/>
  <c r="P436" i="2" s="1"/>
  <c r="Q436" i="2" s="1"/>
  <c r="P430" i="2" a="1"/>
  <c r="P430" i="2" s="1"/>
  <c r="Q430" i="2" s="1"/>
  <c r="P432" i="2" a="1"/>
  <c r="P432" i="2" s="1"/>
  <c r="Q432" i="2" s="1"/>
  <c r="P437" i="2" a="1"/>
  <c r="P437" i="2" s="1"/>
  <c r="Q437" i="2" s="1"/>
  <c r="P434" i="2" a="1"/>
  <c r="P434" i="2" s="1"/>
  <c r="Q434" i="2" s="1"/>
  <c r="P429" i="2" a="1"/>
  <c r="P429" i="2" s="1"/>
  <c r="Q429" i="2" s="1"/>
  <c r="P428" i="2" a="1"/>
  <c r="P428" i="2" s="1"/>
  <c r="Q428" i="2" s="1"/>
  <c r="P431" i="2" a="1"/>
  <c r="P431" i="2" s="1"/>
  <c r="Q431" i="2" s="1"/>
  <c r="P438" i="2" a="1"/>
  <c r="P438" i="2" s="1"/>
  <c r="Q438" i="2" s="1"/>
  <c r="P372" i="2" a="1"/>
  <c r="P372" i="2" s="1"/>
  <c r="Q372" i="2" s="1"/>
  <c r="P405" i="2" a="1"/>
  <c r="P405" i="2" s="1"/>
  <c r="Q405" i="2" s="1"/>
  <c r="P371" i="2" a="1"/>
  <c r="P371" i="2" s="1"/>
  <c r="Q371" i="2" s="1"/>
  <c r="P389" i="2" a="1"/>
  <c r="P389" i="2" s="1"/>
  <c r="Q389" i="2" s="1"/>
  <c r="P418" i="2" a="1"/>
  <c r="P418" i="2" s="1"/>
  <c r="Q418" i="2" s="1"/>
  <c r="P388" i="2" a="1"/>
  <c r="P388" i="2" s="1"/>
  <c r="Q388" i="2" s="1"/>
  <c r="P419" i="2" a="1"/>
  <c r="P419" i="2" s="1"/>
  <c r="Q419" i="2" s="1"/>
  <c r="P387" i="2" a="1"/>
  <c r="P387" i="2" s="1"/>
  <c r="Q387" i="2" s="1"/>
  <c r="P373" i="2" a="1"/>
  <c r="P373" i="2" s="1"/>
  <c r="Q373" i="2" s="1"/>
  <c r="P406" i="2" a="1"/>
  <c r="P406" i="2" s="1"/>
  <c r="Q406" i="2" s="1"/>
  <c r="P421" i="2" a="1"/>
  <c r="P421" i="2" s="1"/>
  <c r="Q421" i="2" s="1"/>
  <c r="P413" i="2" a="1"/>
  <c r="P413" i="2" s="1"/>
  <c r="Q413" i="2" s="1"/>
  <c r="P426" i="2" a="1"/>
  <c r="P426" i="2" s="1"/>
  <c r="Q426" i="2" s="1"/>
  <c r="P412" i="2" a="1"/>
  <c r="P412" i="2" s="1"/>
  <c r="Q412" i="2" s="1"/>
  <c r="P415" i="2" a="1"/>
  <c r="P415" i="2" s="1"/>
  <c r="Q415" i="2" s="1"/>
  <c r="P420" i="2" a="1"/>
  <c r="P420" i="2" s="1"/>
  <c r="Q420" i="2" s="1"/>
  <c r="P422" i="2" a="1"/>
  <c r="P422" i="2" s="1"/>
  <c r="Q422" i="2" s="1"/>
  <c r="P425" i="2" a="1"/>
  <c r="P425" i="2" s="1"/>
  <c r="Q425" i="2" s="1"/>
  <c r="P411" i="2" a="1"/>
  <c r="P411" i="2" s="1"/>
  <c r="Q411" i="2" s="1"/>
  <c r="P414" i="2" a="1"/>
  <c r="P414" i="2" s="1"/>
  <c r="Q414" i="2" s="1"/>
  <c r="P423" i="2" a="1"/>
  <c r="P423" i="2" s="1"/>
  <c r="Q423" i="2" s="1"/>
  <c r="P410" i="2" a="1"/>
  <c r="P410" i="2" s="1"/>
  <c r="Q410" i="2" s="1"/>
  <c r="P417" i="2" a="1"/>
  <c r="P417" i="2" s="1"/>
  <c r="Q417" i="2" s="1"/>
  <c r="P416" i="2" a="1"/>
  <c r="P416" i="2" s="1"/>
  <c r="Q416" i="2" s="1"/>
  <c r="P409" i="2" a="1"/>
  <c r="P409" i="2" s="1"/>
  <c r="Q409" i="2" s="1"/>
  <c r="P424" i="2" a="1"/>
  <c r="P424" i="2" s="1"/>
  <c r="Q424" i="2" s="1"/>
  <c r="O5" i="2"/>
  <c r="P399" i="2" a="1"/>
  <c r="P399" i="2" s="1"/>
  <c r="Q399" i="2" s="1"/>
  <c r="P404" i="2" a="1"/>
  <c r="P404" i="2" s="1"/>
  <c r="Q404" i="2" s="1"/>
  <c r="P400" i="2" a="1"/>
  <c r="P400" i="2" s="1"/>
  <c r="Q400" i="2" s="1"/>
  <c r="P396" i="2" a="1"/>
  <c r="P396" i="2" s="1"/>
  <c r="Q396" i="2" s="1"/>
  <c r="P383" i="2" a="1"/>
  <c r="P383" i="2" s="1"/>
  <c r="Q383" i="2" s="1"/>
  <c r="P378" i="2" a="1"/>
  <c r="P378" i="2" s="1"/>
  <c r="Q378" i="2" s="1"/>
  <c r="P385" i="2" a="1"/>
  <c r="P385" i="2" s="1"/>
  <c r="Q385" i="2" s="1"/>
  <c r="P408" i="2" a="1"/>
  <c r="P408" i="2" s="1"/>
  <c r="Q408" i="2" s="1"/>
  <c r="P375" i="2" a="1"/>
  <c r="P375" i="2" s="1"/>
  <c r="Q375" i="2" s="1"/>
  <c r="P401" i="2" a="1"/>
  <c r="P401" i="2" s="1"/>
  <c r="Q401" i="2" s="1"/>
  <c r="P403" i="2" a="1"/>
  <c r="P403" i="2" s="1"/>
  <c r="Q403" i="2" s="1"/>
  <c r="P376" i="2" a="1"/>
  <c r="P376" i="2" s="1"/>
  <c r="Q376" i="2" s="1"/>
  <c r="P374" i="2" a="1"/>
  <c r="P374" i="2" s="1"/>
  <c r="Q374" i="2" s="1"/>
  <c r="P392" i="2" a="1"/>
  <c r="P392" i="2" s="1"/>
  <c r="Q392" i="2" s="1"/>
  <c r="P394" i="2" a="1"/>
  <c r="P394" i="2" s="1"/>
  <c r="Q394" i="2" s="1"/>
  <c r="P379" i="2" a="1"/>
  <c r="P379" i="2" s="1"/>
  <c r="Q379" i="2" s="1"/>
  <c r="P397" i="2" a="1"/>
  <c r="P397" i="2" s="1"/>
  <c r="Q397" i="2" s="1"/>
  <c r="P382" i="2" a="1"/>
  <c r="P382" i="2" s="1"/>
  <c r="Q382" i="2" s="1"/>
  <c r="P380" i="2" a="1"/>
  <c r="P380" i="2" s="1"/>
  <c r="Q380" i="2" s="1"/>
  <c r="P398" i="2" a="1"/>
  <c r="P398" i="2" s="1"/>
  <c r="Q398" i="2" s="1"/>
  <c r="P402" i="2" a="1"/>
  <c r="P402" i="2" s="1"/>
  <c r="Q402" i="2" s="1"/>
  <c r="P384" i="2" a="1"/>
  <c r="P384" i="2" s="1"/>
  <c r="Q384" i="2" s="1"/>
  <c r="P393" i="2" a="1"/>
  <c r="P393" i="2" s="1"/>
  <c r="Q393" i="2" s="1"/>
  <c r="P390" i="2" a="1"/>
  <c r="P390" i="2" s="1"/>
  <c r="Q390" i="2" s="1"/>
  <c r="P407" i="2" a="1"/>
  <c r="P407" i="2" s="1"/>
  <c r="Q407" i="2" s="1"/>
  <c r="P395" i="2" a="1"/>
  <c r="P395" i="2" s="1"/>
  <c r="Q395" i="2" s="1"/>
  <c r="P386" i="2" a="1"/>
  <c r="P386" i="2" s="1"/>
  <c r="Q386" i="2" s="1"/>
  <c r="P381" i="2" a="1"/>
  <c r="P381" i="2" s="1"/>
  <c r="Q381" i="2" s="1"/>
  <c r="P391" i="2" a="1"/>
  <c r="P391" i="2" s="1"/>
  <c r="Q391" i="2" s="1"/>
  <c r="P377" i="2" a="1"/>
  <c r="P377" i="2" s="1"/>
  <c r="Q377" i="2" s="1"/>
  <c r="P369" i="2" a="1"/>
  <c r="P369" i="2" s="1"/>
  <c r="Q369" i="2" s="1"/>
  <c r="P367" i="2" a="1"/>
  <c r="P367" i="2" s="1"/>
  <c r="Q367" i="2" s="1"/>
  <c r="P368" i="2" a="1"/>
  <c r="P368" i="2" s="1"/>
  <c r="Q368" i="2" s="1"/>
  <c r="P370" i="2" a="1"/>
  <c r="P370" i="2" s="1"/>
  <c r="Q370" i="2" s="1"/>
  <c r="P366" i="2" a="1"/>
  <c r="P366" i="2" s="1"/>
  <c r="Q366" i="2" s="1"/>
  <c r="P325" i="2" a="1"/>
  <c r="P325" i="2" s="1"/>
  <c r="Q325" i="2" s="1"/>
  <c r="P303" i="2" a="1"/>
  <c r="P303" i="2" s="1"/>
  <c r="Q303" i="2" s="1"/>
  <c r="P302" i="2" a="1"/>
  <c r="P302" i="2" s="1"/>
  <c r="Q302" i="2" s="1"/>
  <c r="P324" i="2" a="1"/>
  <c r="P324" i="2" s="1"/>
  <c r="Q324" i="2" s="1"/>
  <c r="P322" i="2" a="1"/>
  <c r="P322" i="2" s="1"/>
  <c r="Q322" i="2" s="1"/>
  <c r="P340" i="2" a="1"/>
  <c r="P340" i="2" s="1"/>
  <c r="Q340" i="2" s="1"/>
  <c r="P355" i="2" a="1"/>
  <c r="P355" i="2" s="1"/>
  <c r="Q355" i="2" s="1"/>
  <c r="P339" i="2" a="1"/>
  <c r="P339" i="2" s="1"/>
  <c r="Q339" i="2" s="1"/>
  <c r="P361" i="2" a="1"/>
  <c r="P361" i="2" s="1"/>
  <c r="Q361" i="2" s="1"/>
  <c r="P341" i="2" a="1"/>
  <c r="P341" i="2" s="1"/>
  <c r="Q341" i="2" s="1"/>
  <c r="P358" i="2" a="1"/>
  <c r="P358" i="2" s="1"/>
  <c r="Q358" i="2" s="1"/>
  <c r="P321" i="2" a="1"/>
  <c r="P321" i="2" s="1"/>
  <c r="Q321" i="2" s="1"/>
  <c r="P360" i="2" a="1"/>
  <c r="P360" i="2" s="1"/>
  <c r="Q360" i="2" s="1"/>
  <c r="P323" i="2" a="1"/>
  <c r="P323" i="2" s="1"/>
  <c r="Q323" i="2" s="1"/>
  <c r="P362" i="2" a="1"/>
  <c r="P362" i="2" s="1"/>
  <c r="Q362" i="2" s="1"/>
  <c r="P359" i="2" a="1"/>
  <c r="P359" i="2" s="1"/>
  <c r="Q359" i="2" s="1"/>
  <c r="P357" i="2" a="1"/>
  <c r="P357" i="2" s="1"/>
  <c r="Q357" i="2" s="1"/>
  <c r="P356" i="2" a="1"/>
  <c r="P356" i="2" s="1"/>
  <c r="Q356" i="2" s="1"/>
  <c r="P315" i="2" a="1"/>
  <c r="P315" i="2" s="1"/>
  <c r="Q315" i="2" s="1"/>
  <c r="P332" i="2" a="1"/>
  <c r="P332" i="2" s="1"/>
  <c r="Q332" i="2" s="1"/>
  <c r="P344" i="2" a="1"/>
  <c r="P344" i="2" s="1"/>
  <c r="Q344" i="2" s="1"/>
  <c r="P316" i="2" a="1"/>
  <c r="P316" i="2" s="1"/>
  <c r="Q316" i="2" s="1"/>
  <c r="P295" i="2" a="1"/>
  <c r="P295" i="2" s="1"/>
  <c r="Q295" i="2" s="1"/>
  <c r="P309" i="2" a="1"/>
  <c r="P309" i="2" s="1"/>
  <c r="Q309" i="2" s="1"/>
  <c r="P337" i="2" a="1"/>
  <c r="P337" i="2" s="1"/>
  <c r="Q337" i="2" s="1"/>
  <c r="P301" i="2" a="1"/>
  <c r="P301" i="2" s="1"/>
  <c r="Q301" i="2" s="1"/>
  <c r="P249" i="2" a="1"/>
  <c r="P249" i="2" s="1"/>
  <c r="Q249" i="2" s="1"/>
  <c r="P247" i="2" a="1"/>
  <c r="P247" i="2" s="1"/>
  <c r="Q247" i="2" s="1"/>
  <c r="P346" i="2" a="1"/>
  <c r="P346" i="2" s="1"/>
  <c r="Q346" i="2" s="1"/>
  <c r="P338" i="2" a="1"/>
  <c r="P338" i="2" s="1"/>
  <c r="Q338" i="2" s="1"/>
  <c r="P257" i="2" a="1"/>
  <c r="P257" i="2" s="1"/>
  <c r="Q257" i="2" s="1"/>
  <c r="P333" i="2" a="1"/>
  <c r="P333" i="2" s="1"/>
  <c r="Q333" i="2" s="1"/>
  <c r="P342" i="2" a="1"/>
  <c r="P342" i="2" s="1"/>
  <c r="Q342" i="2" s="1"/>
  <c r="P283" i="2" a="1"/>
  <c r="P283" i="2" s="1"/>
  <c r="Q283" i="2" s="1"/>
  <c r="P292" i="2" a="1"/>
  <c r="P292" i="2" s="1"/>
  <c r="Q292" i="2" s="1"/>
  <c r="P330" i="2" a="1"/>
  <c r="P330" i="2" s="1"/>
  <c r="Q330" i="2" s="1"/>
  <c r="P305" i="2" a="1"/>
  <c r="P305" i="2" s="1"/>
  <c r="Q305" i="2" s="1"/>
  <c r="P298" i="2" a="1"/>
  <c r="P298" i="2" s="1"/>
  <c r="Q298" i="2" s="1"/>
  <c r="P259" i="2" a="1"/>
  <c r="P259" i="2" s="1"/>
  <c r="Q259" i="2" s="1"/>
  <c r="P296" i="2" a="1"/>
  <c r="P296" i="2" s="1"/>
  <c r="Q296" i="2" s="1"/>
  <c r="P350" i="2" a="1"/>
  <c r="P350" i="2" s="1"/>
  <c r="Q350" i="2" s="1"/>
  <c r="P293" i="2" a="1"/>
  <c r="P293" i="2" s="1"/>
  <c r="Q293" i="2" s="1"/>
  <c r="P262" i="2" a="1"/>
  <c r="P262" i="2" s="1"/>
  <c r="Q262" i="2" s="1"/>
  <c r="P306" i="2" a="1"/>
  <c r="P306" i="2" s="1"/>
  <c r="Q306" i="2" s="1"/>
  <c r="P327" i="2" a="1"/>
  <c r="P327" i="2" s="1"/>
  <c r="Q327" i="2" s="1"/>
  <c r="P326" i="2" a="1"/>
  <c r="P326" i="2" s="1"/>
  <c r="Q326" i="2" s="1"/>
  <c r="P304" i="2" a="1"/>
  <c r="P304" i="2" s="1"/>
  <c r="Q304" i="2" s="1"/>
  <c r="P336" i="2" a="1"/>
  <c r="P336" i="2" s="1"/>
  <c r="Q336" i="2" s="1"/>
  <c r="P310" i="2" a="1"/>
  <c r="P310" i="2" s="1"/>
  <c r="Q310" i="2" s="1"/>
  <c r="P300" i="2" a="1"/>
  <c r="P300" i="2" s="1"/>
  <c r="Q300" i="2" s="1"/>
  <c r="P246" i="2" a="1"/>
  <c r="P246" i="2" s="1"/>
  <c r="Q246" i="2" s="1"/>
  <c r="P240" i="2" a="1"/>
  <c r="P240" i="2" s="1"/>
  <c r="Q240" i="2" s="1"/>
  <c r="P299" i="2" a="1"/>
  <c r="P299" i="2" s="1"/>
  <c r="Q299" i="2" s="1"/>
  <c r="P353" i="2" a="1"/>
  <c r="P353" i="2" s="1"/>
  <c r="Q353" i="2" s="1"/>
  <c r="P345" i="2" a="1"/>
  <c r="P345" i="2" s="1"/>
  <c r="Q345" i="2" s="1"/>
  <c r="P311" i="2" a="1"/>
  <c r="P311" i="2" s="1"/>
  <c r="Q311" i="2" s="1"/>
  <c r="P365" i="2" a="1"/>
  <c r="P365" i="2" s="1"/>
  <c r="Q365" i="2" s="1"/>
  <c r="P349" i="2" a="1"/>
  <c r="P349" i="2" s="1"/>
  <c r="Q349" i="2" s="1"/>
  <c r="P239" i="2" a="1"/>
  <c r="P239" i="2" s="1"/>
  <c r="Q239" i="2" s="1"/>
  <c r="P364" i="2" a="1"/>
  <c r="P364" i="2" s="1"/>
  <c r="Q364" i="2" s="1"/>
  <c r="P285" i="2" a="1"/>
  <c r="P285" i="2" s="1"/>
  <c r="Q285" i="2" s="1"/>
  <c r="P320" i="2" a="1"/>
  <c r="P320" i="2" s="1"/>
  <c r="Q320" i="2" s="1"/>
  <c r="P334" i="2" a="1"/>
  <c r="P334" i="2" s="1"/>
  <c r="Q334" i="2" s="1"/>
  <c r="P314" i="2" a="1"/>
  <c r="P314" i="2" s="1"/>
  <c r="Q314" i="2" s="1"/>
  <c r="P319" i="2" a="1"/>
  <c r="P319" i="2" s="1"/>
  <c r="Q319" i="2" s="1"/>
  <c r="P335" i="2" a="1"/>
  <c r="P335" i="2" s="1"/>
  <c r="Q335" i="2" s="1"/>
  <c r="P317" i="2" a="1"/>
  <c r="P317" i="2" s="1"/>
  <c r="Q317" i="2" s="1"/>
  <c r="P281" i="2" a="1"/>
  <c r="P281" i="2" s="1"/>
  <c r="Q281" i="2" s="1"/>
  <c r="P351" i="2" a="1"/>
  <c r="P351" i="2" s="1"/>
  <c r="Q351" i="2" s="1"/>
  <c r="P294" i="2" a="1"/>
  <c r="P294" i="2" s="1"/>
  <c r="Q294" i="2" s="1"/>
  <c r="P258" i="2" a="1"/>
  <c r="P258" i="2" s="1"/>
  <c r="Q258" i="2" s="1"/>
  <c r="P297" i="2" a="1"/>
  <c r="P297" i="2" s="1"/>
  <c r="Q297" i="2" s="1"/>
  <c r="P270" i="2" a="1"/>
  <c r="P270" i="2" s="1"/>
  <c r="Q270" i="2" s="1"/>
  <c r="P308" i="2" a="1"/>
  <c r="P308" i="2" s="1"/>
  <c r="Q308" i="2" s="1"/>
  <c r="P331" i="2" a="1"/>
  <c r="P331" i="2" s="1"/>
  <c r="Q331" i="2" s="1"/>
  <c r="P329" i="2" a="1"/>
  <c r="P329" i="2" s="1"/>
  <c r="Q329" i="2" s="1"/>
  <c r="P313" i="2" a="1"/>
  <c r="P313" i="2" s="1"/>
  <c r="Q313" i="2" s="1"/>
  <c r="P312" i="2" a="1"/>
  <c r="P312" i="2" s="1"/>
  <c r="Q312" i="2" s="1"/>
  <c r="P363" i="2" a="1"/>
  <c r="P363" i="2" s="1"/>
  <c r="Q363" i="2" s="1"/>
  <c r="P328" i="2" a="1"/>
  <c r="P328" i="2" s="1"/>
  <c r="Q328" i="2" s="1"/>
  <c r="P348" i="2" a="1"/>
  <c r="P348" i="2" s="1"/>
  <c r="Q348" i="2" s="1"/>
  <c r="P260" i="2" a="1"/>
  <c r="P260" i="2" s="1"/>
  <c r="Q260" i="2" s="1"/>
  <c r="P354" i="2" a="1"/>
  <c r="P354" i="2" s="1"/>
  <c r="Q354" i="2" s="1"/>
  <c r="P347" i="2" a="1"/>
  <c r="P347" i="2" s="1"/>
  <c r="Q347" i="2" s="1"/>
  <c r="P245" i="2" a="1"/>
  <c r="P245" i="2" s="1"/>
  <c r="Q245" i="2" s="1"/>
  <c r="P307" i="2" a="1"/>
  <c r="P307" i="2" s="1"/>
  <c r="Q307" i="2" s="1"/>
  <c r="P271" i="2" a="1"/>
  <c r="P271" i="2" s="1"/>
  <c r="Q271" i="2" s="1"/>
  <c r="P343" i="2" a="1"/>
  <c r="P343" i="2" s="1"/>
  <c r="Q343" i="2" s="1"/>
  <c r="P318" i="2" a="1"/>
  <c r="P318" i="2" s="1"/>
  <c r="Q318" i="2" s="1"/>
  <c r="P352" i="2" a="1"/>
  <c r="P352" i="2" s="1"/>
  <c r="Q352" i="2" s="1"/>
  <c r="P287" i="2" a="1"/>
  <c r="P287" i="2" s="1"/>
  <c r="Q287" i="2" s="1"/>
  <c r="P280" i="2" a="1"/>
  <c r="P280" i="2" s="1"/>
  <c r="Q280" i="2" s="1"/>
  <c r="P269" i="2" a="1"/>
  <c r="P269" i="2" s="1"/>
  <c r="Q269" i="2" s="1"/>
  <c r="P244" i="2" a="1"/>
  <c r="P244" i="2" s="1"/>
  <c r="Q244" i="2" s="1"/>
  <c r="P275" i="2" a="1"/>
  <c r="P275" i="2" s="1"/>
  <c r="Q275" i="2" s="1"/>
  <c r="P288" i="2" a="1"/>
  <c r="P288" i="2" s="1"/>
  <c r="Q288" i="2" s="1"/>
  <c r="P263" i="2" a="1"/>
  <c r="P263" i="2" s="1"/>
  <c r="Q263" i="2" s="1"/>
  <c r="P255" i="2" a="1"/>
  <c r="P255" i="2" s="1"/>
  <c r="Q255" i="2" s="1"/>
  <c r="P265" i="2" a="1"/>
  <c r="P265" i="2" s="1"/>
  <c r="Q265" i="2" s="1"/>
  <c r="P272" i="2" a="1"/>
  <c r="P272" i="2" s="1"/>
  <c r="Q272" i="2" s="1"/>
  <c r="P243" i="2" a="1"/>
  <c r="P243" i="2" s="1"/>
  <c r="Q243" i="2" s="1"/>
  <c r="P267" i="2" a="1"/>
  <c r="P267" i="2" s="1"/>
  <c r="Q267" i="2" s="1"/>
  <c r="P268" i="2" a="1"/>
  <c r="P268" i="2" s="1"/>
  <c r="Q268" i="2" s="1"/>
  <c r="P290" i="2" a="1"/>
  <c r="P290" i="2" s="1"/>
  <c r="Q290" i="2" s="1"/>
  <c r="P279" i="2" a="1"/>
  <c r="P279" i="2" s="1"/>
  <c r="Q279" i="2" s="1"/>
  <c r="P254" i="2" a="1"/>
  <c r="P254" i="2" s="1"/>
  <c r="Q254" i="2" s="1"/>
  <c r="P273" i="2" a="1"/>
  <c r="P273" i="2" s="1"/>
  <c r="Q273" i="2" s="1"/>
  <c r="P278" i="2" a="1"/>
  <c r="P278" i="2" s="1"/>
  <c r="Q278" i="2" s="1"/>
  <c r="P242" i="2" a="1"/>
  <c r="P242" i="2" s="1"/>
  <c r="Q242" i="2" s="1"/>
  <c r="P289" i="2" a="1"/>
  <c r="P289" i="2" s="1"/>
  <c r="Q289" i="2" s="1"/>
  <c r="P274" i="2" a="1"/>
  <c r="P274" i="2" s="1"/>
  <c r="Q274" i="2" s="1"/>
  <c r="P284" i="2" a="1"/>
  <c r="P284" i="2" s="1"/>
  <c r="Q284" i="2" s="1"/>
  <c r="P256" i="2" a="1"/>
  <c r="P256" i="2" s="1"/>
  <c r="Q256" i="2" s="1"/>
  <c r="P266" i="2" a="1"/>
  <c r="P266" i="2" s="1"/>
  <c r="Q266" i="2" s="1"/>
  <c r="P264" i="2" a="1"/>
  <c r="P264" i="2" s="1"/>
  <c r="Q264" i="2" s="1"/>
  <c r="P277" i="2" a="1"/>
  <c r="P277" i="2" s="1"/>
  <c r="Q277" i="2" s="1"/>
  <c r="P291" i="2" a="1"/>
  <c r="P291" i="2" s="1"/>
  <c r="Q291" i="2" s="1"/>
  <c r="P282" i="2" a="1"/>
  <c r="P282" i="2" s="1"/>
  <c r="Q282" i="2" s="1"/>
  <c r="P276" i="2" a="1"/>
  <c r="P276" i="2" s="1"/>
  <c r="Q276" i="2" s="1"/>
  <c r="P286" i="2" a="1"/>
  <c r="P286" i="2" s="1"/>
  <c r="Q286" i="2" s="1"/>
  <c r="P251" i="2" a="1"/>
  <c r="P251" i="2" s="1"/>
  <c r="Q251" i="2" s="1"/>
  <c r="P241" i="2" a="1"/>
  <c r="P241" i="2" s="1"/>
  <c r="Q241" i="2" s="1"/>
  <c r="P253" i="2" a="1"/>
  <c r="P253" i="2" s="1"/>
  <c r="Q253" i="2" s="1"/>
  <c r="P250" i="2" a="1"/>
  <c r="P250" i="2" s="1"/>
  <c r="Q250" i="2" s="1"/>
  <c r="P252" i="2" a="1"/>
  <c r="P252" i="2" s="1"/>
  <c r="Q252" i="2" s="1"/>
  <c r="P261" i="2" a="1"/>
  <c r="P261" i="2" s="1"/>
  <c r="Q261" i="2" s="1"/>
  <c r="P248" i="2" a="1"/>
  <c r="P248" i="2" s="1"/>
  <c r="Q248" i="2" s="1"/>
  <c r="P228" i="2" a="1"/>
  <c r="P228" i="2" s="1"/>
  <c r="Q228" i="2" s="1"/>
  <c r="P225" i="2" a="1"/>
  <c r="P225" i="2" s="1"/>
  <c r="Q225" i="2" s="1"/>
  <c r="P227" i="2" a="1"/>
  <c r="P227" i="2" s="1"/>
  <c r="Q227" i="2" s="1"/>
  <c r="P212" i="2" a="1"/>
  <c r="P212" i="2" s="1"/>
  <c r="Q212" i="2" s="1"/>
  <c r="P238" i="2" a="1"/>
  <c r="P238" i="2" s="1"/>
  <c r="Q238" i="2" s="1"/>
  <c r="P231" i="2" a="1"/>
  <c r="P231" i="2" s="1"/>
  <c r="Q231" i="2" s="1"/>
  <c r="P232" i="2" a="1"/>
  <c r="P232" i="2" s="1"/>
  <c r="Q232" i="2" s="1"/>
  <c r="P236" i="2" a="1"/>
  <c r="P236" i="2" s="1"/>
  <c r="Q236" i="2" s="1"/>
  <c r="P229" i="2" a="1"/>
  <c r="P229" i="2" s="1"/>
  <c r="Q229" i="2" s="1"/>
  <c r="P234" i="2" a="1"/>
  <c r="P234" i="2" s="1"/>
  <c r="Q234" i="2" s="1"/>
  <c r="P233" i="2" a="1"/>
  <c r="P233" i="2" s="1"/>
  <c r="Q233" i="2" s="1"/>
  <c r="P224" i="2" a="1"/>
  <c r="P224" i="2" s="1"/>
  <c r="Q224" i="2" s="1"/>
  <c r="P237" i="2" a="1"/>
  <c r="P237" i="2" s="1"/>
  <c r="Q237" i="2" s="1"/>
  <c r="P235" i="2" a="1"/>
  <c r="P235" i="2" s="1"/>
  <c r="Q235" i="2" s="1"/>
  <c r="P230" i="2" a="1"/>
  <c r="P230" i="2" s="1"/>
  <c r="Q230" i="2" s="1"/>
  <c r="P223" i="2" a="1"/>
  <c r="P223" i="2" s="1"/>
  <c r="Q223" i="2" s="1"/>
  <c r="P215" i="2" a="1"/>
  <c r="P215" i="2" s="1"/>
  <c r="Q215" i="2" s="1"/>
  <c r="P226" i="2" a="1"/>
  <c r="P226" i="2" s="1"/>
  <c r="Q226" i="2" s="1"/>
  <c r="P220" i="2" a="1"/>
  <c r="P220" i="2" s="1"/>
  <c r="Q220" i="2" s="1"/>
  <c r="P216" i="2" a="1"/>
  <c r="P216" i="2" s="1"/>
  <c r="Q216" i="2" s="1"/>
  <c r="P222" i="2" a="1"/>
  <c r="P222" i="2" s="1"/>
  <c r="Q222" i="2" s="1"/>
  <c r="P213" i="2" a="1"/>
  <c r="P213" i="2" s="1"/>
  <c r="Q213" i="2" s="1"/>
  <c r="P219" i="2" a="1"/>
  <c r="P219" i="2" s="1"/>
  <c r="Q219" i="2" s="1"/>
  <c r="P214" i="2" a="1"/>
  <c r="P214" i="2" s="1"/>
  <c r="Q214" i="2" s="1"/>
  <c r="P218" i="2" a="1"/>
  <c r="P218" i="2" s="1"/>
  <c r="Q218" i="2" s="1"/>
  <c r="P221" i="2" a="1"/>
  <c r="P221" i="2" s="1"/>
  <c r="Q221" i="2" s="1"/>
  <c r="P217" i="2" a="1"/>
  <c r="P217" i="2" s="1"/>
  <c r="Q217" i="2" s="1"/>
  <c r="P207" i="2" a="1"/>
  <c r="P207" i="2" s="1"/>
  <c r="Q207" i="2" s="1"/>
  <c r="P197" i="2" a="1"/>
  <c r="P197" i="2" s="1"/>
  <c r="Q197" i="2" s="1"/>
  <c r="P200" i="2" a="1"/>
  <c r="P200" i="2" s="1"/>
  <c r="Q200" i="2" s="1"/>
  <c r="P209" i="2" a="1"/>
  <c r="P209" i="2" s="1"/>
  <c r="Q209" i="2" s="1"/>
  <c r="P210" i="2" a="1"/>
  <c r="P210" i="2" s="1"/>
  <c r="Q210" i="2" s="1"/>
  <c r="P198" i="2" a="1"/>
  <c r="P198" i="2" s="1"/>
  <c r="Q198" i="2" s="1"/>
  <c r="P203" i="2" a="1"/>
  <c r="P203" i="2" s="1"/>
  <c r="Q203" i="2" s="1"/>
  <c r="P208" i="2" a="1"/>
  <c r="P208" i="2" s="1"/>
  <c r="Q208" i="2" s="1"/>
  <c r="P206" i="2" a="1"/>
  <c r="P206" i="2" s="1"/>
  <c r="Q206" i="2" s="1"/>
  <c r="P205" i="2" a="1"/>
  <c r="P205" i="2" s="1"/>
  <c r="Q205" i="2" s="1"/>
  <c r="P202" i="2" a="1"/>
  <c r="P202" i="2" s="1"/>
  <c r="Q202" i="2" s="1"/>
  <c r="P199" i="2" a="1"/>
  <c r="P199" i="2" s="1"/>
  <c r="Q199" i="2" s="1"/>
  <c r="P211" i="2" a="1"/>
  <c r="P211" i="2" s="1"/>
  <c r="Q211" i="2" s="1"/>
  <c r="P204" i="2" a="1"/>
  <c r="P204" i="2" s="1"/>
  <c r="Q204" i="2" s="1"/>
  <c r="P201" i="2" a="1"/>
  <c r="P201" i="2" s="1"/>
  <c r="Q201" i="2" s="1"/>
  <c r="P196" i="2" a="1"/>
  <c r="P196" i="2" s="1"/>
  <c r="Q196" i="2" s="1"/>
  <c r="P173" i="2" a="1"/>
  <c r="P173" i="2" s="1"/>
  <c r="Q173" i="2" s="1"/>
  <c r="P167" i="2" a="1"/>
  <c r="P167" i="2" s="1"/>
  <c r="Q167" i="2" s="1"/>
  <c r="P180" i="2" a="1"/>
  <c r="P180" i="2" s="1"/>
  <c r="Q180" i="2" s="1"/>
  <c r="P176" i="2" a="1"/>
  <c r="P176" i="2" s="1"/>
  <c r="Q176" i="2" s="1"/>
  <c r="P165" i="2" a="1"/>
  <c r="P165" i="2" s="1"/>
  <c r="Q165" i="2" s="1"/>
  <c r="P184" i="2" a="1"/>
  <c r="P184" i="2" s="1"/>
  <c r="Q184" i="2" s="1"/>
  <c r="P185" i="2" a="1"/>
  <c r="P185" i="2" s="1"/>
  <c r="Q185" i="2" s="1"/>
  <c r="P183" i="2" a="1"/>
  <c r="P183" i="2" s="1"/>
  <c r="Q183" i="2" s="1"/>
  <c r="P179" i="2" a="1"/>
  <c r="P179" i="2" s="1"/>
  <c r="Q179" i="2" s="1"/>
  <c r="P177" i="2" a="1"/>
  <c r="P177" i="2" s="1"/>
  <c r="Q177" i="2" s="1"/>
  <c r="P191" i="2" a="1"/>
  <c r="P191" i="2" s="1"/>
  <c r="Q191" i="2" s="1"/>
  <c r="P178" i="2" a="1"/>
  <c r="P178" i="2" s="1"/>
  <c r="Q178" i="2" s="1"/>
  <c r="P182" i="2" a="1"/>
  <c r="P182" i="2" s="1"/>
  <c r="Q182" i="2" s="1"/>
  <c r="P195" i="2" a="1"/>
  <c r="P195" i="2" s="1"/>
  <c r="Q195" i="2" s="1"/>
  <c r="P175" i="2" a="1"/>
  <c r="P175" i="2" s="1"/>
  <c r="Q175" i="2" s="1"/>
  <c r="P194" i="2" a="1"/>
  <c r="P194" i="2" s="1"/>
  <c r="Q194" i="2" s="1"/>
  <c r="P192" i="2" a="1"/>
  <c r="P192" i="2" s="1"/>
  <c r="Q192" i="2" s="1"/>
  <c r="P193" i="2" a="1"/>
  <c r="P193" i="2" s="1"/>
  <c r="Q193" i="2" s="1"/>
  <c r="P181" i="2" a="1"/>
  <c r="P181" i="2" s="1"/>
  <c r="Q181" i="2" s="1"/>
  <c r="P174" i="2" a="1"/>
  <c r="P174" i="2" s="1"/>
  <c r="Q174" i="2" s="1"/>
  <c r="P169" i="2" a="1"/>
  <c r="P169" i="2" s="1"/>
  <c r="Q169" i="2" s="1"/>
  <c r="P162" i="2" a="1"/>
  <c r="P162" i="2" s="1"/>
  <c r="Q162" i="2" s="1"/>
  <c r="P161" i="2" a="1"/>
  <c r="P161" i="2" s="1"/>
  <c r="Q161" i="2" s="1"/>
  <c r="P190" i="2" a="1"/>
  <c r="P190" i="2" s="1"/>
  <c r="Q190" i="2" s="1"/>
  <c r="P145" i="2" a="1"/>
  <c r="P145" i="2" s="1"/>
  <c r="Q145" i="2" s="1"/>
  <c r="P164" i="2" a="1"/>
  <c r="P164" i="2" s="1"/>
  <c r="Q164" i="2" s="1"/>
  <c r="P160" i="2" a="1"/>
  <c r="P160" i="2" s="1"/>
  <c r="Q160" i="2" s="1"/>
  <c r="P170" i="2" a="1"/>
  <c r="P170" i="2" s="1"/>
  <c r="Q170" i="2" s="1"/>
  <c r="P147" i="2" a="1"/>
  <c r="P147" i="2" s="1"/>
  <c r="Q147" i="2" s="1"/>
  <c r="P168" i="2" a="1"/>
  <c r="P168" i="2" s="1"/>
  <c r="Q168" i="2" s="1"/>
  <c r="P172" i="2" a="1"/>
  <c r="P172" i="2" s="1"/>
  <c r="Q172" i="2" s="1"/>
  <c r="P171" i="2" a="1"/>
  <c r="P171" i="2" s="1"/>
  <c r="Q171" i="2" s="1"/>
  <c r="P163" i="2" a="1"/>
  <c r="P163" i="2" s="1"/>
  <c r="Q163" i="2" s="1"/>
  <c r="P166" i="2" a="1"/>
  <c r="P166" i="2" s="1"/>
  <c r="Q166" i="2" s="1"/>
  <c r="P143" i="2" a="1"/>
  <c r="P143" i="2" s="1"/>
  <c r="Q143" i="2" s="1"/>
  <c r="P149" i="2" a="1"/>
  <c r="P149" i="2" s="1"/>
  <c r="Q149" i="2" s="1"/>
  <c r="P148" i="2" a="1"/>
  <c r="P148" i="2" s="1"/>
  <c r="Q148" i="2" s="1"/>
  <c r="P187" i="2" a="1"/>
  <c r="P187" i="2" s="1"/>
  <c r="Q187" i="2" s="1"/>
  <c r="P153" i="2" a="1"/>
  <c r="P153" i="2" s="1"/>
  <c r="Q153" i="2" s="1"/>
  <c r="P142" i="2" a="1"/>
  <c r="P142" i="2" s="1"/>
  <c r="Q142" i="2" s="1"/>
  <c r="P144" i="2" a="1"/>
  <c r="P144" i="2" s="1"/>
  <c r="Q144" i="2" s="1"/>
  <c r="P159" i="2" a="1"/>
  <c r="P159" i="2" s="1"/>
  <c r="Q159" i="2" s="1"/>
  <c r="P139" i="2" a="1"/>
  <c r="P139" i="2" s="1"/>
  <c r="Q139" i="2" s="1"/>
  <c r="P186" i="2" a="1"/>
  <c r="P186" i="2" s="1"/>
  <c r="Q186" i="2" s="1"/>
  <c r="P152" i="2" a="1"/>
  <c r="P152" i="2" s="1"/>
  <c r="Q152" i="2" s="1"/>
  <c r="P150" i="2" a="1"/>
  <c r="P150" i="2" s="1"/>
  <c r="Q150" i="2" s="1"/>
  <c r="P188" i="2" a="1"/>
  <c r="P188" i="2" s="1"/>
  <c r="Q188" i="2" s="1"/>
  <c r="P189" i="2" a="1"/>
  <c r="P189" i="2" s="1"/>
  <c r="Q189" i="2" s="1"/>
  <c r="P140" i="2" a="1"/>
  <c r="P140" i="2" s="1"/>
  <c r="Q140" i="2" s="1"/>
  <c r="P151" i="2" a="1"/>
  <c r="P151" i="2" s="1"/>
  <c r="Q151" i="2" s="1"/>
  <c r="P156" i="2" a="1"/>
  <c r="P156" i="2" s="1"/>
  <c r="Q156" i="2" s="1"/>
  <c r="P155" i="2" a="1"/>
  <c r="P155" i="2" s="1"/>
  <c r="Q155" i="2" s="1"/>
  <c r="P158" i="2" a="1"/>
  <c r="P158" i="2" s="1"/>
  <c r="Q158" i="2" s="1"/>
  <c r="P157" i="2" a="1"/>
  <c r="P157" i="2" s="1"/>
  <c r="Q157" i="2" s="1"/>
  <c r="P141" i="2" a="1"/>
  <c r="P141" i="2" s="1"/>
  <c r="Q141" i="2" s="1"/>
  <c r="P146" i="2" a="1"/>
  <c r="P146" i="2" s="1"/>
  <c r="Q146" i="2" s="1"/>
  <c r="P138" i="2" a="1"/>
  <c r="P138" i="2" s="1"/>
  <c r="Q138" i="2" s="1"/>
  <c r="P154" i="2" a="1"/>
  <c r="P154" i="2" s="1"/>
  <c r="Q154" i="2" s="1"/>
  <c r="R5" i="5"/>
  <c r="R6" i="5"/>
  <c r="P29" i="2" a="1"/>
  <c r="P29" i="2" s="1"/>
  <c r="Q29" i="2" s="1"/>
  <c r="P28" i="2" a="1"/>
  <c r="P28" i="2" s="1"/>
  <c r="Q28" i="2" s="1"/>
  <c r="P133" i="2" a="1"/>
  <c r="P133" i="2" s="1"/>
  <c r="Q133" i="2" s="1"/>
  <c r="P135" i="2" a="1"/>
  <c r="P135" i="2" s="1"/>
  <c r="Q135" i="2" s="1"/>
  <c r="P136" i="2" a="1"/>
  <c r="P136" i="2" s="1"/>
  <c r="Q136" i="2" s="1"/>
  <c r="P137" i="2" a="1"/>
  <c r="P137" i="2" s="1"/>
  <c r="Q137" i="2" s="1"/>
  <c r="P131" i="2" a="1"/>
  <c r="P131" i="2" s="1"/>
  <c r="Q131" i="2" s="1"/>
  <c r="P134" i="2" a="1"/>
  <c r="P134" i="2" s="1"/>
  <c r="Q134" i="2" s="1"/>
  <c r="P132" i="2" a="1"/>
  <c r="P132" i="2" s="1"/>
  <c r="Q132" i="2" s="1"/>
  <c r="P130" i="2" a="1"/>
  <c r="P130" i="2" s="1"/>
  <c r="Q130" i="2" s="1"/>
  <c r="P129" i="2" a="1"/>
  <c r="P129" i="2" s="1"/>
  <c r="Q129" i="2" s="1"/>
  <c r="P117" i="2" a="1"/>
  <c r="P117" i="2" s="1"/>
  <c r="Q117" i="2" s="1"/>
  <c r="P125" i="2" a="1"/>
  <c r="P125" i="2" s="1"/>
  <c r="Q125" i="2" s="1"/>
  <c r="P116" i="2" a="1"/>
  <c r="P116" i="2" s="1"/>
  <c r="Q116" i="2" s="1"/>
  <c r="P122" i="2" a="1"/>
  <c r="P122" i="2" s="1"/>
  <c r="Q122" i="2" s="1"/>
  <c r="P114" i="2" a="1"/>
  <c r="P114" i="2" s="1"/>
  <c r="Q114" i="2" s="1"/>
  <c r="P118" i="2" a="1"/>
  <c r="P118" i="2" s="1"/>
  <c r="Q118" i="2" s="1"/>
  <c r="P115" i="2" a="1"/>
  <c r="P115" i="2" s="1"/>
  <c r="Q115" i="2" s="1"/>
  <c r="P121" i="2" a="1"/>
  <c r="P121" i="2" s="1"/>
  <c r="Q121" i="2" s="1"/>
  <c r="P127" i="2" a="1"/>
  <c r="P127" i="2" s="1"/>
  <c r="Q127" i="2" s="1"/>
  <c r="P128" i="2" a="1"/>
  <c r="P128" i="2" s="1"/>
  <c r="Q128" i="2" s="1"/>
  <c r="P126" i="2" a="1"/>
  <c r="P126" i="2" s="1"/>
  <c r="Q126" i="2" s="1"/>
  <c r="P123" i="2" a="1"/>
  <c r="P123" i="2" s="1"/>
  <c r="Q123" i="2" s="1"/>
  <c r="P120" i="2" a="1"/>
  <c r="P120" i="2" s="1"/>
  <c r="Q120" i="2" s="1"/>
  <c r="P119" i="2" a="1"/>
  <c r="P119" i="2" s="1"/>
  <c r="Q119" i="2" s="1"/>
  <c r="P124" i="2" a="1"/>
  <c r="P124" i="2" s="1"/>
  <c r="Q124" i="2" s="1"/>
  <c r="P113" i="2" a="1"/>
  <c r="P113" i="2" s="1"/>
  <c r="Q113" i="2" s="1"/>
  <c r="P17" i="2" a="1"/>
  <c r="P17" i="2" s="1"/>
  <c r="Q17" i="2" s="1"/>
  <c r="P7" i="2" a="1"/>
  <c r="P7" i="2" s="1"/>
  <c r="Q7" i="2" s="1"/>
  <c r="P25" i="2" a="1"/>
  <c r="P25" i="2" s="1"/>
  <c r="Q25" i="2" s="1"/>
  <c r="P55" i="2" a="1"/>
  <c r="P55" i="2" s="1"/>
  <c r="Q55" i="2" s="1"/>
  <c r="P64" i="2" a="1"/>
  <c r="P64" i="2" s="1"/>
  <c r="Q64" i="2" s="1"/>
  <c r="P84" i="2" a="1"/>
  <c r="P84" i="2" s="1"/>
  <c r="Q84" i="2" s="1"/>
  <c r="P24" i="2" a="1"/>
  <c r="P24" i="2" s="1"/>
  <c r="Q24" i="2" s="1"/>
  <c r="P76" i="2" a="1"/>
  <c r="P76" i="2" s="1"/>
  <c r="Q76" i="2" s="1"/>
  <c r="P83" i="2" a="1"/>
  <c r="P83" i="2" s="1"/>
  <c r="Q83" i="2" s="1"/>
  <c r="P107" i="2" a="1"/>
  <c r="P107" i="2" s="1"/>
  <c r="Q107" i="2" s="1"/>
  <c r="P16" i="2" a="1"/>
  <c r="P16" i="2" s="1"/>
  <c r="Q16" i="2" s="1"/>
  <c r="P13" i="2" a="1"/>
  <c r="P13" i="2" s="1"/>
  <c r="Q13" i="2" s="1"/>
  <c r="P57" i="2" a="1"/>
  <c r="P57" i="2" s="1"/>
  <c r="Q57" i="2" s="1"/>
  <c r="P35" i="2" a="1"/>
  <c r="P35" i="2" s="1"/>
  <c r="Q35" i="2" s="1"/>
  <c r="P12" i="2" a="1"/>
  <c r="P12" i="2" s="1"/>
  <c r="Q12" i="2" s="1"/>
  <c r="P36" i="2" a="1"/>
  <c r="P36" i="2" s="1"/>
  <c r="Q36" i="2" s="1"/>
  <c r="P23" i="2" a="1"/>
  <c r="P23" i="2" s="1"/>
  <c r="Q23" i="2" s="1"/>
  <c r="P92" i="2" a="1"/>
  <c r="P92" i="2" s="1"/>
  <c r="Q92" i="2" s="1"/>
  <c r="P21" i="2" a="1"/>
  <c r="P21" i="2" s="1"/>
  <c r="Q21" i="2" s="1"/>
  <c r="P38" i="2" a="1"/>
  <c r="P38" i="2" s="1"/>
  <c r="Q38" i="2" s="1"/>
  <c r="P80" i="2" a="1"/>
  <c r="P80" i="2" s="1"/>
  <c r="Q80" i="2" s="1"/>
  <c r="P43" i="2" a="1"/>
  <c r="P43" i="2" s="1"/>
  <c r="Q43" i="2" s="1"/>
  <c r="P103" i="2" a="1"/>
  <c r="P103" i="2" s="1"/>
  <c r="Q103" i="2" s="1"/>
  <c r="P112" i="2" a="1"/>
  <c r="P112" i="2" s="1"/>
  <c r="Q112" i="2" s="1"/>
  <c r="P32" i="2" a="1"/>
  <c r="P32" i="2" s="1"/>
  <c r="Q32" i="2" s="1"/>
  <c r="P40" i="2" a="1"/>
  <c r="P40" i="2" s="1"/>
  <c r="Q40" i="2" s="1"/>
  <c r="P46" i="2" a="1"/>
  <c r="P46" i="2" s="1"/>
  <c r="Q46" i="2" s="1"/>
  <c r="P81" i="2" a="1"/>
  <c r="P81" i="2" s="1"/>
  <c r="Q81" i="2" s="1"/>
  <c r="P100" i="2" a="1"/>
  <c r="P100" i="2" s="1"/>
  <c r="Q100" i="2" s="1"/>
  <c r="P111" i="2" a="1"/>
  <c r="P111" i="2" s="1"/>
  <c r="Q111" i="2" s="1"/>
  <c r="P34" i="2" a="1"/>
  <c r="P34" i="2" s="1"/>
  <c r="Q34" i="2" s="1"/>
  <c r="P11" i="2" a="1"/>
  <c r="P11" i="2" s="1"/>
  <c r="Q11" i="2" s="1"/>
  <c r="P88" i="2" a="1"/>
  <c r="P88" i="2" s="1"/>
  <c r="Q88" i="2" s="1"/>
  <c r="P105" i="2" a="1"/>
  <c r="P105" i="2" s="1"/>
  <c r="Q105" i="2" s="1"/>
  <c r="P33" i="2" a="1"/>
  <c r="P33" i="2" s="1"/>
  <c r="Q33" i="2" s="1"/>
  <c r="P9" i="2" a="1"/>
  <c r="P9" i="2" s="1"/>
  <c r="Q9" i="2" s="1"/>
  <c r="P48" i="2" a="1"/>
  <c r="P48" i="2" s="1"/>
  <c r="Q48" i="2" s="1"/>
  <c r="P94" i="2" a="1"/>
  <c r="P94" i="2" s="1"/>
  <c r="Q94" i="2" s="1"/>
  <c r="P108" i="2" a="1"/>
  <c r="P108" i="2" s="1"/>
  <c r="Q108" i="2" s="1"/>
  <c r="P20" i="2" a="1"/>
  <c r="P20" i="2" s="1"/>
  <c r="Q20" i="2" s="1"/>
  <c r="P53" i="2" a="1"/>
  <c r="P53" i="2" s="1"/>
  <c r="Q53" i="2" s="1"/>
  <c r="P58" i="2" a="1"/>
  <c r="P58" i="2" s="1"/>
  <c r="Q58" i="2" s="1"/>
  <c r="P62" i="2" a="1"/>
  <c r="P62" i="2" s="1"/>
  <c r="Q62" i="2" s="1"/>
  <c r="P75" i="2" a="1"/>
  <c r="P75" i="2" s="1"/>
  <c r="Q75" i="2" s="1"/>
  <c r="P89" i="2" a="1"/>
  <c r="P89" i="2" s="1"/>
  <c r="Q89" i="2" s="1"/>
  <c r="P102" i="2" a="1"/>
  <c r="P102" i="2" s="1"/>
  <c r="Q102" i="2" s="1"/>
  <c r="P93" i="2" a="1"/>
  <c r="P93" i="2" s="1"/>
  <c r="Q93" i="2" s="1"/>
  <c r="P31" i="2" a="1"/>
  <c r="P31" i="2" s="1"/>
  <c r="Q31" i="2" s="1"/>
  <c r="P19" i="2" a="1"/>
  <c r="P19" i="2" s="1"/>
  <c r="Q19" i="2" s="1"/>
  <c r="P50" i="2" a="1"/>
  <c r="P50" i="2" s="1"/>
  <c r="Q50" i="2" s="1"/>
  <c r="P63" i="2" a="1"/>
  <c r="P63" i="2" s="1"/>
  <c r="Q63" i="2" s="1"/>
  <c r="P74" i="2" a="1"/>
  <c r="P74" i="2" s="1"/>
  <c r="Q74" i="2" s="1"/>
  <c r="P69" i="2" a="1"/>
  <c r="P69" i="2" s="1"/>
  <c r="Q69" i="2" s="1"/>
  <c r="P99" i="2" a="1"/>
  <c r="P99" i="2" s="1"/>
  <c r="Q99" i="2" s="1"/>
  <c r="P101" i="2" a="1"/>
  <c r="P101" i="2" s="1"/>
  <c r="Q101" i="2" s="1"/>
  <c r="P30" i="2" a="1"/>
  <c r="P30" i="2" s="1"/>
  <c r="Q30" i="2" s="1"/>
  <c r="P18" i="2" a="1"/>
  <c r="P18" i="2" s="1"/>
  <c r="Q18" i="2" s="1"/>
  <c r="P54" i="2" a="1"/>
  <c r="P54" i="2" s="1"/>
  <c r="Q54" i="2" s="1"/>
  <c r="P47" i="2" a="1"/>
  <c r="P47" i="2" s="1"/>
  <c r="Q47" i="2" s="1"/>
  <c r="P66" i="2" a="1"/>
  <c r="P66" i="2" s="1"/>
  <c r="Q66" i="2" s="1"/>
  <c r="P60" i="2" a="1"/>
  <c r="P60" i="2" s="1"/>
  <c r="Q60" i="2" s="1"/>
  <c r="P70" i="2" a="1"/>
  <c r="P70" i="2" s="1"/>
  <c r="Q70" i="2" s="1"/>
  <c r="P73" i="2" a="1"/>
  <c r="P73" i="2" s="1"/>
  <c r="Q73" i="2" s="1"/>
  <c r="P95" i="2" a="1"/>
  <c r="P95" i="2" s="1"/>
  <c r="Q95" i="2" s="1"/>
  <c r="P98" i="2" a="1"/>
  <c r="P98" i="2" s="1"/>
  <c r="Q98" i="2" s="1"/>
  <c r="P109" i="2" a="1"/>
  <c r="P109" i="2" s="1"/>
  <c r="Q109" i="2" s="1"/>
  <c r="P59" i="2" a="1"/>
  <c r="P59" i="2" s="1"/>
  <c r="Q59" i="2" s="1"/>
  <c r="P79" i="2" a="1"/>
  <c r="P79" i="2" s="1"/>
  <c r="Q79" i="2" s="1"/>
  <c r="P90" i="2" a="1"/>
  <c r="P90" i="2" s="1"/>
  <c r="Q90" i="2" s="1"/>
  <c r="P97" i="2" a="1"/>
  <c r="P97" i="2" s="1"/>
  <c r="Q97" i="2" s="1"/>
  <c r="P42" i="2" a="1"/>
  <c r="P42" i="2" s="1"/>
  <c r="Q42" i="2" s="1"/>
  <c r="P44" i="2" a="1"/>
  <c r="P44" i="2" s="1"/>
  <c r="Q44" i="2" s="1"/>
  <c r="P52" i="2" a="1"/>
  <c r="P52" i="2" s="1"/>
  <c r="Q52" i="2" s="1"/>
  <c r="P68" i="2" a="1"/>
  <c r="P68" i="2" s="1"/>
  <c r="Q68" i="2" s="1"/>
  <c r="P71" i="2" a="1"/>
  <c r="P71" i="2" s="1"/>
  <c r="Q71" i="2" s="1"/>
  <c r="P78" i="2" a="1"/>
  <c r="P78" i="2" s="1"/>
  <c r="Q78" i="2" s="1"/>
  <c r="P87" i="2" a="1"/>
  <c r="P87" i="2" s="1"/>
  <c r="Q87" i="2" s="1"/>
  <c r="P27" i="2" a="1"/>
  <c r="P27" i="2" s="1"/>
  <c r="Q27" i="2" s="1"/>
  <c r="P15" i="2" a="1"/>
  <c r="P15" i="2" s="1"/>
  <c r="Q15" i="2" s="1"/>
  <c r="P8" i="2" a="1"/>
  <c r="P8" i="2" s="1"/>
  <c r="Q8" i="2" s="1"/>
  <c r="P26" i="2" a="1"/>
  <c r="P26" i="2" s="1"/>
  <c r="Q26" i="2" s="1"/>
  <c r="P14" i="2" a="1"/>
  <c r="P14" i="2" s="1"/>
  <c r="Q14" i="2" s="1"/>
  <c r="P45" i="2" a="1"/>
  <c r="P45" i="2" s="1"/>
  <c r="Q45" i="2" s="1"/>
  <c r="P56" i="2" a="1"/>
  <c r="P56" i="2" s="1"/>
  <c r="Q56" i="2" s="1"/>
  <c r="P65" i="2" a="1"/>
  <c r="P65" i="2" s="1"/>
  <c r="Q65" i="2" s="1"/>
  <c r="P72" i="2" a="1"/>
  <c r="P72" i="2" s="1"/>
  <c r="Q72" i="2" s="1"/>
  <c r="P85" i="2" a="1"/>
  <c r="P85" i="2" s="1"/>
  <c r="Q85" i="2" s="1"/>
  <c r="P91" i="2" a="1"/>
  <c r="P91" i="2" s="1"/>
  <c r="Q91" i="2" s="1"/>
  <c r="P104" i="2" a="1"/>
  <c r="P104" i="2" s="1"/>
  <c r="Q104" i="2" s="1"/>
  <c r="P22" i="2" a="1"/>
  <c r="P22" i="2" s="1"/>
  <c r="Q22" i="2" s="1"/>
  <c r="P10" i="2" a="1"/>
  <c r="P10" i="2" s="1"/>
  <c r="Q10" i="2" s="1"/>
  <c r="P39" i="2" a="1"/>
  <c r="P39" i="2" s="1"/>
  <c r="Q39" i="2" s="1"/>
  <c r="P37" i="2" a="1"/>
  <c r="P37" i="2" s="1"/>
  <c r="Q37" i="2" s="1"/>
  <c r="P49" i="2" a="1"/>
  <c r="P49" i="2" s="1"/>
  <c r="Q49" i="2" s="1"/>
  <c r="P61" i="2" a="1"/>
  <c r="P61" i="2" s="1"/>
  <c r="Q61" i="2" s="1"/>
  <c r="P77" i="2" a="1"/>
  <c r="P77" i="2" s="1"/>
  <c r="Q77" i="2" s="1"/>
  <c r="P41" i="2" a="1"/>
  <c r="P41" i="2" s="1"/>
  <c r="Q41" i="2" s="1"/>
  <c r="P51" i="2" a="1"/>
  <c r="P51" i="2" s="1"/>
  <c r="Q51" i="2" s="1"/>
  <c r="P67" i="2" a="1"/>
  <c r="P67" i="2" s="1"/>
  <c r="Q67" i="2" s="1"/>
  <c r="P82" i="2" a="1"/>
  <c r="P82" i="2" s="1"/>
  <c r="Q82" i="2" s="1"/>
  <c r="P86" i="2" a="1"/>
  <c r="P86" i="2" s="1"/>
  <c r="Q86" i="2" s="1"/>
  <c r="P96" i="2" a="1"/>
  <c r="P96" i="2" s="1"/>
  <c r="Q96" i="2" s="1"/>
  <c r="P106" i="2" a="1"/>
  <c r="P106" i="2" s="1"/>
  <c r="Q106" i="2" s="1"/>
  <c r="P110" i="2" a="1"/>
  <c r="P110" i="2" s="1"/>
  <c r="Q110" i="2" s="1"/>
  <c r="Q5" i="2" l="1"/>
  <c r="U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C01C1-A8D7-4A5C-AD4F-1109E52F1CB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33F580D-72CC-4B3E-A315-B61A400C1748}" name="WorksheetConnection_Timesheets_Kyodo_Global_v2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imesheets_Kyodo_Global_v2.xlsxTable11"/>
        </x15:connection>
      </ext>
    </extLst>
  </connection>
  <connection id="3" xr16:uid="{04781C22-1A65-44D0-9351-D6BCA12BA342}" name="WorksheetConnection_Timesheets_Kyodo_Global_v2.xlsx!Table2[[Client_x000a_'[Name']]:[Planned hours (Sum of PO''s)_x000a_HRS]]" type="102" refreshedVersion="8" minRefreshableVersion="5">
    <extLst>
      <ext xmlns:x15="http://schemas.microsoft.com/office/spreadsheetml/2010/11/main" uri="{DE250136-89BD-433C-8126-D09CA5730AF9}">
        <x15:connection id="Table2  Client   Name     Planned hours  Sum of PO  s  HRS" autoDelete="1">
          <x15:rangePr sourceName="Table2[[Client_x000a_'[Name']]:[Planned hours (Sum of PO''s)_x000a_HRS]]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<sst xmlns="http://schemas.openxmlformats.org/spreadsheetml/2006/main" count="3202" uniqueCount="499">
  <si>
    <t>Hours</t>
  </si>
  <si>
    <t>Drop Down List</t>
  </si>
  <si>
    <t>Client</t>
  </si>
  <si>
    <t>Project</t>
  </si>
  <si>
    <t>Sub project</t>
  </si>
  <si>
    <t>Activity</t>
  </si>
  <si>
    <t>Week</t>
  </si>
  <si>
    <t>Date</t>
  </si>
  <si>
    <t>Fill In</t>
  </si>
  <si>
    <t>DKK</t>
  </si>
  <si>
    <t>Description of activity</t>
  </si>
  <si>
    <t>Time start</t>
  </si>
  <si>
    <t>Time end</t>
  </si>
  <si>
    <t>Rate</t>
  </si>
  <si>
    <t>Labflex</t>
  </si>
  <si>
    <t>Total, DKK</t>
  </si>
  <si>
    <t>EvodiaBio</t>
  </si>
  <si>
    <t>RH Arkitekter</t>
  </si>
  <si>
    <t>Timesheet</t>
  </si>
  <si>
    <t>NN MAA CMC Exp.</t>
  </si>
  <si>
    <t>DS</t>
  </si>
  <si>
    <t>Ressource
[Initials]</t>
  </si>
  <si>
    <t>MS</t>
  </si>
  <si>
    <t>Clients / Projects / Rates</t>
  </si>
  <si>
    <t>AstraZeneca</t>
  </si>
  <si>
    <t>Auto</t>
  </si>
  <si>
    <t>Optional</t>
  </si>
  <si>
    <t>Resources</t>
  </si>
  <si>
    <r>
      <t xml:space="preserve">Project
</t>
    </r>
    <r>
      <rPr>
        <sz val="9"/>
        <color theme="1"/>
        <rFont val="Aptos"/>
        <family val="2"/>
      </rPr>
      <t>[Name]</t>
    </r>
  </si>
  <si>
    <r>
      <t xml:space="preserve">Ressource
</t>
    </r>
    <r>
      <rPr>
        <sz val="9"/>
        <color theme="1"/>
        <rFont val="Aptos"/>
        <family val="2"/>
      </rPr>
      <t>[Initials]</t>
    </r>
  </si>
  <si>
    <r>
      <t xml:space="preserve">Client
</t>
    </r>
    <r>
      <rPr>
        <sz val="9"/>
        <color theme="1"/>
        <rFont val="Aptos"/>
        <family val="2"/>
      </rPr>
      <t>[Name]</t>
    </r>
  </si>
  <si>
    <r>
      <t xml:space="preserve">Rate
</t>
    </r>
    <r>
      <rPr>
        <sz val="9"/>
        <color theme="1"/>
        <rFont val="Aptos"/>
        <family val="2"/>
      </rPr>
      <t>DKK</t>
    </r>
  </si>
  <si>
    <r>
      <t xml:space="preserve">Name
</t>
    </r>
    <r>
      <rPr>
        <sz val="9"/>
        <color theme="1"/>
        <rFont val="Aptos"/>
        <family val="2"/>
      </rPr>
      <t>[Initials]</t>
    </r>
  </si>
  <si>
    <r>
      <t xml:space="preserve">Target load
</t>
    </r>
    <r>
      <rPr>
        <sz val="9"/>
        <color theme="1"/>
        <rFont val="Aptos"/>
        <family val="2"/>
      </rPr>
      <t>pr. week [%]</t>
    </r>
  </si>
  <si>
    <t>Fill in</t>
  </si>
  <si>
    <t>Activities</t>
  </si>
  <si>
    <t>Meeting</t>
  </si>
  <si>
    <t>Project Management</t>
  </si>
  <si>
    <t>Presentation</t>
  </si>
  <si>
    <t>Driving</t>
  </si>
  <si>
    <t>Reporting</t>
  </si>
  <si>
    <t>Research</t>
  </si>
  <si>
    <t>AGC Biologics</t>
  </si>
  <si>
    <t>CD</t>
  </si>
  <si>
    <t>Sales</t>
  </si>
  <si>
    <t>Construction</t>
  </si>
  <si>
    <t>Consulting</t>
  </si>
  <si>
    <t>Rapporteret</t>
  </si>
  <si>
    <t>Driving / Kørsel</t>
  </si>
  <si>
    <t>Select and print, below the grey help line.</t>
  </si>
  <si>
    <r>
      <rPr>
        <sz val="11"/>
        <rFont val="Aptos"/>
        <family val="2"/>
      </rPr>
      <t xml:space="preserve">Grand totals | </t>
    </r>
    <r>
      <rPr>
        <b/>
        <sz val="11"/>
        <rFont val="Aptos Black"/>
        <family val="2"/>
      </rPr>
      <t>Hours</t>
    </r>
  </si>
  <si>
    <t>Procurement foreberedelse - Alle afdelinger / lister strømlinet og opdateret med inkl. overblik over mangler.</t>
  </si>
  <si>
    <t>Lab-Vent</t>
  </si>
  <si>
    <t>Dalux</t>
  </si>
  <si>
    <t>ML</t>
  </si>
  <si>
    <t>Projekt nedluk; Overblik, opsamling, møde vedr. Ændring - opfølgning på aktioner</t>
  </si>
  <si>
    <t>QC Lab</t>
  </si>
  <si>
    <t>NN MAA A2</t>
  </si>
  <si>
    <t>SDU SUND</t>
  </si>
  <si>
    <t>NN MAA F6</t>
  </si>
  <si>
    <t>Projekt nedluk; …</t>
  </si>
  <si>
    <t>Projekt nedluk; Overblik + diverse opsamling og korrdinering.</t>
  </si>
  <si>
    <t>Projekt nedluk; Grænsefladekontrol / kommentering i ACC, noter og plan ifm. nedluk</t>
  </si>
  <si>
    <t xml:space="preserve">Projekt nedluk; Grænsefladekontrol </t>
  </si>
  <si>
    <t>Produktkatalog</t>
  </si>
  <si>
    <t>Ændring</t>
  </si>
  <si>
    <t>KL-4</t>
  </si>
  <si>
    <t>Opfølgning på specialløsninger til lydbure. Opdatering af projekt økonomi samt status og koordinering med John</t>
  </si>
  <si>
    <t>HH-2</t>
  </si>
  <si>
    <t>HC-2</t>
  </si>
  <si>
    <t>HE-2</t>
  </si>
  <si>
    <t>HC-1</t>
  </si>
  <si>
    <t>HC-0</t>
  </si>
  <si>
    <t>Development</t>
  </si>
  <si>
    <t>Opfølgning på aktioner fra mock-up besigtigelse i Skive; Lars W, Daria m.fl.</t>
  </si>
  <si>
    <t xml:space="preserve">Projektplanlægning; demontage samt port folio plan opdatering. Afklaring og koordinering af demontage omfang </t>
  </si>
  <si>
    <t>Opfølgning på levering og montage af ekstraabrejder til Joakim</t>
  </si>
  <si>
    <t>Økonomi/rapportering opfølgning. Planlægning og koordinering af leverance og montage</t>
  </si>
  <si>
    <t>KK-1</t>
  </si>
  <si>
    <t>Design</t>
  </si>
  <si>
    <t>Opstart review session i Bluebeam - opsætning og introduktion</t>
  </si>
  <si>
    <t>Input til demontage plan</t>
  </si>
  <si>
    <t>Bestilling af ekstra Ar udtag. Status og koordinering af slutarbejder med John + AZ</t>
  </si>
  <si>
    <t>LV projektmøde; Opfølgning på aktioner samt koordinering med NFR + TM + VD. Afklaring og koordinering af ekstraarbejder med Kasper/SDU</t>
  </si>
  <si>
    <t>Opdatering af Dalux med økonomi på ekstraarbejder; grundlag for tillægspriser mv.</t>
  </si>
  <si>
    <t>Projekt nedluk; Grænsefladekontrol / kommentering i ACC, noter og plan ifm. Nedluk. Leverandøroprettelse mv.</t>
  </si>
  <si>
    <t>Gennemgang og opfølgning på før-besigtning med john. Opfølgning på ekstraarbejder, claims mv.</t>
  </si>
  <si>
    <t>Afklaring og opfølgning på LF filer til granskning/review session. Opfølgning på MSC aktioner fra mock-up besigtigelse</t>
  </si>
  <si>
    <t>Status og koordinering af montage med John. Opfølgning med Joakim på økonomi og tider</t>
  </si>
  <si>
    <t>Status på specialløsning; leveringsplan og detailkoordinering</t>
  </si>
  <si>
    <t>Status og koordinering med Niels efter indregulering i stordyrsområde. Forberedelse til statusmøde med VD + SDU</t>
  </si>
  <si>
    <t>Koordinering og input til John ift. overblik på økonomi og demontage plan</t>
  </si>
  <si>
    <t>Novo Nordisk</t>
  </si>
  <si>
    <t>CMC Expansion</t>
  </si>
  <si>
    <t>Foulum</t>
  </si>
  <si>
    <t>NN MAA FULA</t>
  </si>
  <si>
    <t>DTU 223 + 224</t>
  </si>
  <si>
    <t>April</t>
  </si>
  <si>
    <r>
      <t xml:space="preserve">UID
</t>
    </r>
    <r>
      <rPr>
        <sz val="9"/>
        <color theme="4"/>
        <rFont val="Aptos"/>
        <family val="2"/>
      </rPr>
      <t>[Helper]</t>
    </r>
  </si>
  <si>
    <t>Driving?</t>
  </si>
  <si>
    <t>Avg. rate</t>
  </si>
  <si>
    <t>Nøgletal</t>
  </si>
  <si>
    <t>AAU Fibigerstræde</t>
  </si>
  <si>
    <t>Consulting activities</t>
  </si>
  <si>
    <r>
      <t xml:space="preserve">MonthYear
</t>
    </r>
    <r>
      <rPr>
        <sz val="9"/>
        <color theme="4"/>
        <rFont val="Aptos Black"/>
        <family val="2"/>
      </rPr>
      <t>[Helper]</t>
    </r>
  </si>
  <si>
    <t>Month name</t>
  </si>
  <si>
    <t>Maj</t>
  </si>
  <si>
    <t>Zystm</t>
  </si>
  <si>
    <t>ST Skoleinventar</t>
  </si>
  <si>
    <t>Scale-up production</t>
  </si>
  <si>
    <t>Juni</t>
  </si>
  <si>
    <t>Months</t>
  </si>
  <si>
    <t>Month No.</t>
  </si>
  <si>
    <t>January</t>
  </si>
  <si>
    <t>February</t>
  </si>
  <si>
    <t>March</t>
  </si>
  <si>
    <t>Juli</t>
  </si>
  <si>
    <t>August</t>
  </si>
  <si>
    <t>September</t>
  </si>
  <si>
    <t>November</t>
  </si>
  <si>
    <t>December</t>
  </si>
  <si>
    <r>
      <t xml:space="preserve">Monthly hours
</t>
    </r>
    <r>
      <rPr>
        <sz val="9"/>
        <color theme="1"/>
        <rFont val="Aptos"/>
        <family val="2"/>
      </rPr>
      <t>[No hours]</t>
    </r>
  </si>
  <si>
    <t>AZ - HE2</t>
  </si>
  <si>
    <t>240009-1</t>
  </si>
  <si>
    <t>Budget ID</t>
  </si>
  <si>
    <r>
      <t xml:space="preserve">Project ID
</t>
    </r>
    <r>
      <rPr>
        <sz val="9"/>
        <color theme="1"/>
        <rFont val="Aptos"/>
        <family val="2"/>
      </rPr>
      <t>[Number]</t>
    </r>
  </si>
  <si>
    <r>
      <t xml:space="preserve">Budget ID
</t>
    </r>
    <r>
      <rPr>
        <sz val="9"/>
        <color theme="1"/>
        <rFont val="Aptos"/>
        <family val="2"/>
      </rPr>
      <t>[BID]</t>
    </r>
  </si>
  <si>
    <t>Yes</t>
  </si>
  <si>
    <r>
      <t xml:space="preserve">Project look-up name
</t>
    </r>
    <r>
      <rPr>
        <sz val="9"/>
        <color theme="1"/>
        <rFont val="Aptos"/>
        <family val="2"/>
      </rPr>
      <t>[Active projects]</t>
    </r>
  </si>
  <si>
    <r>
      <t xml:space="preserve">Filter out of look-ups
</t>
    </r>
    <r>
      <rPr>
        <sz val="9"/>
        <color theme="1"/>
        <rFont val="Aptos"/>
        <family val="2"/>
      </rPr>
      <t>[Yes/No]</t>
    </r>
  </si>
  <si>
    <t>Zystem - Various</t>
  </si>
  <si>
    <t>ST - Various</t>
  </si>
  <si>
    <t>Valid from (date)</t>
  </si>
  <si>
    <t>Valid from (Helper)</t>
  </si>
  <si>
    <t>Follow up</t>
  </si>
  <si>
    <t>230002-1</t>
  </si>
  <si>
    <t>Kyodo</t>
  </si>
  <si>
    <t>Reshape Biotech</t>
  </si>
  <si>
    <t>Lab showroom</t>
  </si>
  <si>
    <t>M1</t>
  </si>
  <si>
    <t>AFRY</t>
  </si>
  <si>
    <t>TI BTC</t>
  </si>
  <si>
    <t>Competition</t>
  </si>
  <si>
    <t>CCRM</t>
  </si>
  <si>
    <t>PD &amp; QC Lab</t>
  </si>
  <si>
    <t>Ox Exp</t>
  </si>
  <si>
    <t>240005-1</t>
  </si>
  <si>
    <t>Budget Name</t>
  </si>
  <si>
    <t>Basic Design</t>
  </si>
  <si>
    <t>240017-1</t>
  </si>
  <si>
    <t>CMC Leo</t>
  </si>
  <si>
    <t>AZ - Sales (Caverion)</t>
  </si>
  <si>
    <t>BIM Mgnt.</t>
  </si>
  <si>
    <t>Orion (P475)</t>
  </si>
  <si>
    <t>Milkyway (P572)</t>
  </si>
  <si>
    <t>Northstar (P522)</t>
  </si>
  <si>
    <t>Zystm Intern</t>
  </si>
  <si>
    <t>Syddansk Universitet</t>
  </si>
  <si>
    <t>BD</t>
  </si>
  <si>
    <t>October</t>
  </si>
  <si>
    <t>Daily hours
[No hours]</t>
  </si>
  <si>
    <r>
      <t xml:space="preserve">Target load
</t>
    </r>
    <r>
      <rPr>
        <sz val="9"/>
        <color theme="4"/>
        <rFont val="Aptos"/>
        <family val="2"/>
      </rPr>
      <t>pr. month [hours]</t>
    </r>
  </si>
  <si>
    <t>Meeting and follow up</t>
  </si>
  <si>
    <t>LAF-roof meeting, writing minutes and follow up</t>
  </si>
  <si>
    <t>Agreement note overview and coordination</t>
  </si>
  <si>
    <t>Layout updates/adjustments</t>
  </si>
  <si>
    <t>Layout updates and Dalux update. EL + MEP clarifications and prep for AZ meetings</t>
  </si>
  <si>
    <t>3D model coordination and different follow up</t>
  </si>
  <si>
    <t>Coordination and clarification of final payment</t>
  </si>
  <si>
    <t>Overview of open tasks, adjusting model acc. To user inputs in coordination with ARK, adjusting furnishment to new layout, follow up</t>
  </si>
  <si>
    <t>Procurement team introduction (AC + Ina)</t>
  </si>
  <si>
    <t>Concept freeze workshop, interface, schedule and construcability workshop</t>
  </si>
  <si>
    <t>Cockpit meeting, Overview of open tasks, CONA EHS input and follow up</t>
  </si>
  <si>
    <t>Project meeting (RH, Aqvila, Langebæk), Day one options alignment, Hamilton / JAG meeting regarding automation / robotization of ASUs and sampel flow.</t>
  </si>
  <si>
    <t>Arbejdsmøde. Projektafklaringer - layout ændringer, opfølgning med GLI team + John</t>
  </si>
  <si>
    <t>Opfølgning på freestanding OP + QMT/BROEN udtag</t>
  </si>
  <si>
    <t xml:space="preserve">Area overview - further clarification/investigation for m2 comparisson towards M1 </t>
  </si>
  <si>
    <t>Project meetings. Scope alignment and final task overview/prio</t>
  </si>
  <si>
    <t>Design team meeting. Clarification and coordination with Aqvila + RH. Follow up on actions from NN weekly meeting. Automation/robotics introduction meeting with Hamilton + JAG (sample flow)</t>
  </si>
  <si>
    <t>Layout clarification + updates from CCRM. Upload of models + drawings</t>
  </si>
  <si>
    <t xml:space="preserve">Model correction and coordination, concept plan and description </t>
  </si>
  <si>
    <t>Finding and organising document from prior period, coordination with Jørgen, QA meeting and follow up</t>
  </si>
  <si>
    <t>Final presentation - prep + presentation.</t>
  </si>
  <si>
    <t>Budgetting, CD report clarification and coordination</t>
  </si>
  <si>
    <t>Status meeting with development team - wall mounted, freestanding + AZ review/clarification</t>
  </si>
  <si>
    <t>Project follow-up - actions from work meeting. Layout changes and updates from AZ/SARA</t>
  </si>
  <si>
    <t>MEP alignment meeting med Aqvila (Per + Steen). Opfølgning på deliverables med RH + Katrine. IT/OT møde - RACI/LoD/Kyodo involvering</t>
  </si>
  <si>
    <t>Layout + Dalux updates</t>
  </si>
  <si>
    <t>EQL budget preparation. Issue layout review drawings and update users on status and next steps. CD report clarification w/ Lea</t>
  </si>
  <si>
    <t>Alignment meeting regarding Day One Layout (Layout related to fire). MEP alignment meeting med Aqvila (Per + Steen). IT/OT møde - RACI/LoD/Kyodo involvering. Opsamling på opgaver / action log.</t>
  </si>
  <si>
    <t>Budgetting, various follow-up and answering questions</t>
  </si>
  <si>
    <t>EQL opstart og dataindsamling på bl.a. glasswash. Task walk-through and review of minutes from lab meeting.</t>
  </si>
  <si>
    <t>EQL, RFP, model coordination</t>
  </si>
  <si>
    <t>Economy meeting, gathering and organizing documents and creating project overview</t>
  </si>
  <si>
    <t>Economy meeting, coordination of FIP installation</t>
  </si>
  <si>
    <t>Details reg. dishwash, various coordination / alignment and work on sample flow</t>
  </si>
  <si>
    <t>Budgetting; lab furniture + clean utilities</t>
  </si>
  <si>
    <t>Follow up on lab track actions; flow, Hamilton, robotic station in towers</t>
  </si>
  <si>
    <t>Update of CRRM changes/additions. Dalux comments - clarification and commenting</t>
  </si>
  <si>
    <t>Update of layout updates - LAF tak etc. Follow up on economy; PO, budgets etc.</t>
  </si>
  <si>
    <t>Opfølgning på projektmangler ifm- projektnedluk</t>
  </si>
  <si>
    <t>240017-2</t>
  </si>
  <si>
    <t>Renderings</t>
  </si>
  <si>
    <t>CD/BD</t>
  </si>
  <si>
    <t>3D model + drawing updates</t>
  </si>
  <si>
    <t>3D model + drawing updates. 3D model coordination + export</t>
  </si>
  <si>
    <t>CD + BD</t>
  </si>
  <si>
    <t>Catalogue</t>
  </si>
  <si>
    <t>NN CMC ELEXT (Leo)</t>
  </si>
  <si>
    <t>Product catalouge</t>
  </si>
  <si>
    <t>240017-3</t>
  </si>
  <si>
    <t>CD-&gt;BD Bridging</t>
  </si>
  <si>
    <t>Bridging (CD-&gt;BD)</t>
  </si>
  <si>
    <t>ilAB</t>
  </si>
  <si>
    <t>Lab + Office Expansion</t>
  </si>
  <si>
    <t>YearWeek
[Helper]</t>
  </si>
  <si>
    <t>v2.2 | 01-02-2025</t>
  </si>
  <si>
    <t>240017-4</t>
  </si>
  <si>
    <t>230003-1</t>
  </si>
  <si>
    <t>Document upload, LAF-roofs</t>
  </si>
  <si>
    <t xml:space="preserve">Storage costs </t>
  </si>
  <si>
    <t>Project meeting with Aqvila, RH and Langebæk + Flow calc. Walk through with Patrick (Langebæk) and general follow-up. Archetype layout and plan with RH/NTB. LN2 clarification HH. Project coordination and clarification mails</t>
  </si>
  <si>
    <t>Status, update and prep for AZ visit</t>
  </si>
  <si>
    <t>Review af seneste produkt updates på 3 varianter af OP borde. EL plate test forberedelse, sövlåda afklaring</t>
  </si>
  <si>
    <t>Laout updates. Planlægning og koordinering med John + Engineering team</t>
  </si>
  <si>
    <t>Avklaring och koordinering med T+E/Henrik. Review layout pudates. Uppfölgning på Dalux actions</t>
  </si>
  <si>
    <t>Brugermøde/workshop med Virology @ site Gentofte + Referat og diverse koordinering.</t>
  </si>
  <si>
    <t>Projektmøde, Brugermødekoordinering og diverse dialog samt forberedelse.</t>
  </si>
  <si>
    <t>Solvent consolidation.</t>
  </si>
  <si>
    <t>Technical clarification with AFRY - follow-up on user meetings. Review session planning and coordination. Input for NN kick-off</t>
  </si>
  <si>
    <t>Projektmøde, Brugermødekoordinering og diverse dialog samt forberedelse. Opdatering af scope og budget</t>
  </si>
  <si>
    <t>LN2 afklaring, Solvent afklaring, Lab2Lab afklaring, mixing station afklaring</t>
  </si>
  <si>
    <t>Test af EL plade - herunder forberedelse og opfølgning. Sövlåda + QC udttag</t>
  </si>
  <si>
    <t>Layout afklaring med OP borde i layout, afløb, handdusch, gas udtag mv. Site visit</t>
  </si>
  <si>
    <t>Opfølgning på montage. Opdatering af økonomi</t>
  </si>
  <si>
    <t>Opdatering af katalog. Afklaring og koodinering af updates og ændringer</t>
  </si>
  <si>
    <t>LAF-roofs, Fixation of furniture, follow up and coordination</t>
  </si>
  <si>
    <t>BSC's, follow up</t>
  </si>
  <si>
    <t>Coordination and updating drawings</t>
  </si>
  <si>
    <t>Opfølgning på site visit og test. Afklaring af detaljer på/til OP bord</t>
  </si>
  <si>
    <t>Evodiabio</t>
  </si>
  <si>
    <t>As built drawings</t>
  </si>
  <si>
    <t>Intro meeting with Christian, Design coordination meeting, Coordination and clarification with engineering disciplines, perparing for meeting with Virology department, RFP + Coordinate update, model adjustment.</t>
  </si>
  <si>
    <t>Virology user meeting in Gentofte, RFP + Revit modelling</t>
  </si>
  <si>
    <t>CMC Petersburg</t>
  </si>
  <si>
    <t>Fire meeting, Design status meeting, Power and heat emission meeting, coordination and follow up with different stakeholders</t>
  </si>
  <si>
    <t>Follow up on actions from meetings Friday and coordination</t>
  </si>
  <si>
    <t>Follow up on actions from meetings Friday, Writing minutes, follow up and coordination</t>
  </si>
  <si>
    <t>Status meeting with LF team + SteerCo. Update of planning and follow up on development clarifications</t>
  </si>
  <si>
    <t>Project status meeting with GLI - order overview + stage re-planning. Gas towers clarification</t>
  </si>
  <si>
    <t>Project and meeting coordination. EL comments/review follow-up and clarifications</t>
  </si>
  <si>
    <t>Opfølgning på Flowtech arbejder samt mails fra Janus/Bravida</t>
  </si>
  <si>
    <t>Opfølgning på SOS lab møde. Projekt planlægning og okordinering med teamet. Projektforlængelse med 4 uger - opfølgning og opdatering</t>
  </si>
  <si>
    <t>Projektkoordinering - BD review samt opfølgning på BD handin aktioner</t>
  </si>
  <si>
    <t xml:space="preserve">Afklaring, koordinering og projektopfølgning med DS </t>
  </si>
  <si>
    <t>1:1 with MLXF. Project re-scope. Scenario clarification and presentation for MLXF meeting with Mads T. Economy update and project admin</t>
  </si>
  <si>
    <t>Afklaring og koordinering inkl. mødeplanlægning og løsningsafklaring.</t>
  </si>
  <si>
    <t>Opfølgning på BD hand-in. BD-review planlægning.</t>
  </si>
  <si>
    <t>1:1 with MLXF. Project re-scope. Scenario clarification and presentation for MLXF meeting with Mads T. Setting up meetings for RFPs and general coordination.</t>
  </si>
  <si>
    <t>DLF Seeds</t>
  </si>
  <si>
    <t>Kongebakken Labs</t>
  </si>
  <si>
    <t>NN projektmøde. Opsamling og koordinering med Nina/RH</t>
  </si>
  <si>
    <t>MLXF afklaringer, Projekteringsmøde, RFP opdateringer</t>
  </si>
  <si>
    <t>Projektafklaringer. Mails. Koordinering af site visit</t>
  </si>
  <si>
    <t>Afklaring og koordinering</t>
  </si>
  <si>
    <t>Lab inventar system afklaring</t>
  </si>
  <si>
    <t>EL afklaringer - prep til møder på site / AFRY møder</t>
  </si>
  <si>
    <t>Flowtech arbejder - afklaring og koordinering med Kasper Ege og Niels. Opfølgning på mails mv. Fra Bravida</t>
  </si>
  <si>
    <t>LE-1</t>
  </si>
  <si>
    <t>SoOp QC</t>
  </si>
  <si>
    <t>240017-5</t>
  </si>
  <si>
    <t>BD → DD Bridging</t>
  </si>
  <si>
    <t>Lundbeck</t>
  </si>
  <si>
    <t>LE-2</t>
  </si>
  <si>
    <t>CB-Feasibility Study</t>
  </si>
  <si>
    <t>NN MA K6</t>
  </si>
  <si>
    <t>G3 Prep</t>
  </si>
  <si>
    <t>LE-4</t>
  </si>
  <si>
    <t>Coordination and planning</t>
  </si>
  <si>
    <t>SM</t>
  </si>
  <si>
    <t>Budget update</t>
  </si>
  <si>
    <t>BD+</t>
  </si>
  <si>
    <t>Clarification, alignment and coordination with ML. Layout updates coordination</t>
  </si>
  <si>
    <t xml:space="preserve">Order structure, project plan, LAF/BSC's, meetings and coordination with Jørgen, varuius follow up </t>
  </si>
  <si>
    <t>Cost reductions, interfaces</t>
  </si>
  <si>
    <t>Project setup</t>
  </si>
  <si>
    <t xml:space="preserve">Interfaces </t>
  </si>
  <si>
    <t>Interfaces, detailing, planning and varius follow up</t>
  </si>
  <si>
    <t>Meeting with Ali, site inspection and follow up</t>
  </si>
  <si>
    <t xml:space="preserve">Site inspection, coordination and planning, on site meetings with varius stakeholders </t>
  </si>
  <si>
    <t>Interface coordination / review / improvements.</t>
  </si>
  <si>
    <t>Saving catalog, EQL, detailing layout and various follow up</t>
  </si>
  <si>
    <t>Preparing for startup, status meeting with project, economy and documentation, mutiple coordination and follow up with Jørgen and Benny</t>
  </si>
  <si>
    <t>Various follow up and handover</t>
  </si>
  <si>
    <t>On site handling and coordination, status meeting and follow up</t>
  </si>
  <si>
    <t>Status meeting, documentation and economy and follow up</t>
  </si>
  <si>
    <t>Coordination with fitters and project and follow up</t>
  </si>
  <si>
    <t>Follow-up and hand-over (summervacation)</t>
  </si>
  <si>
    <t>Labs + Lab Utility Design Meeting, follow-up on project status, interface details, big items etc.</t>
  </si>
  <si>
    <t>Drawing updates (DD)</t>
  </si>
  <si>
    <t>Interfaces + Drawing updates (DD)</t>
  </si>
  <si>
    <t>Finishing setting up checklists in Dalux</t>
  </si>
  <si>
    <t>Setting up checklists in Dalux</t>
  </si>
  <si>
    <t>Space management meeting, Project overview incl. deadlines, coordination and follow-up.</t>
  </si>
  <si>
    <t>ASU input / overview for Mathias + general follow-up.</t>
  </si>
  <si>
    <t>Catch-up on mails and info during vacation.</t>
  </si>
  <si>
    <t>Reach-out to suppliers (BioMek i5 + i7) space requirements (move-in) + Access posibility for local RO-Water systems (BWT). Investigate Dalux/ACC/Revit upload of latest drawings etc.</t>
  </si>
  <si>
    <t>Coordination / follow-up.</t>
  </si>
  <si>
    <t>Follow-up on local RO-system with spec. to supplier. Revit / Dalux clarification. Interfaces. Coordination with ML.</t>
  </si>
  <si>
    <t>Review of Riba stage 3 material.</t>
  </si>
  <si>
    <t>Dialogue with vendors. Receiving and acessing RO-water system units. Conclude on solution for Revit -&gt; Dalux upload. Verification of drawings/layout + alignment regarding deliverables.</t>
  </si>
  <si>
    <t>Coordination and vender check regarding IT/OT.</t>
  </si>
  <si>
    <t>Catch-up with Søren Klyvø + Screening ICP material and preparing for next steps.</t>
  </si>
  <si>
    <t>Labs + Lab Utility Design Meeting, follow-up on actions (Robotics Lab weight, ceiling height, VCE lab ceiling clash, freezers etc.) + General coordination.</t>
  </si>
  <si>
    <t>Check-in / Catch up med WUSK. ICP materiale screening.. Project coordination and planning</t>
  </si>
  <si>
    <t>Project meeting LF. Layout review and clarification with GLI. Follow up on emails</t>
  </si>
  <si>
    <t>Project meeting LF. Planning and coordination with LF team + John</t>
  </si>
  <si>
    <t>Project follow up and coordination with team</t>
  </si>
  <si>
    <t>Clarification and coordination with ML + DS. Layout + interfaces</t>
  </si>
  <si>
    <t>Review and commenting of updated layout. Clarification of solutions in labs</t>
  </si>
  <si>
    <t>Status with NN + Langebæk. Follow up and planning</t>
  </si>
  <si>
    <t>Rumstyring og VENT afklaringer</t>
  </si>
  <si>
    <t>Project coordination - deliveries + installation.</t>
  </si>
  <si>
    <t>Follow up on emails - updated cost prices/estimates. Planning and coordination follow up</t>
  </si>
  <si>
    <t>Layout clarification + Design coordination + guidance</t>
  </si>
  <si>
    <t>Project coordination and clarifications - follow up on project meetings with DS. Equipment detailing - coordination</t>
  </si>
  <si>
    <t>Space management meeting. Detail design and Scientific Instruments. Coordination and clarification.</t>
  </si>
  <si>
    <t>Read through material / planning</t>
  </si>
  <si>
    <t>Status meeting with Louise and Labflex. Discuss concepts and interfaces.</t>
  </si>
  <si>
    <t>Catch-up meeting with Michael. Input and coordination regarding fire, vibrations, "ceiling bridge" etc. + 3D modelling.</t>
  </si>
  <si>
    <t>Incl. Silas</t>
  </si>
  <si>
    <t>Catch-up meeting with Michael. Input and coordination regarding "ceiling bridge" etc. + 3D modelling coordination and  clarifications.</t>
  </si>
  <si>
    <t>Follow up with WUSK - Planning and coordination</t>
  </si>
  <si>
    <t>Layout clarification and coordination - radiators on facade walls.. Budget clarification and update</t>
  </si>
  <si>
    <t>Project development plan + budget update</t>
  </si>
  <si>
    <t>Rumstyring + VENT afklaringer</t>
  </si>
  <si>
    <t>Layout clarification and inputs to GLI</t>
  </si>
  <si>
    <t>Planning and coordination of deliveries and instllation for coming weeks</t>
  </si>
  <si>
    <t>Equipment model update. Clarification and coordination with team</t>
  </si>
  <si>
    <t>Installation plan - clarification and coordination of deliveries and activities. Coordination with BRA Group. Layout detailing - radiators vs. Lab furniture</t>
  </si>
  <si>
    <t>Layout status with GLI - clarification and comments. Review + upload.</t>
  </si>
  <si>
    <t>Layout clarifications - status and coordination with GLI. Follow up on review. Design inputs to GLI</t>
  </si>
  <si>
    <t>Economy updates review - clarification and follow up. Planning and coordination</t>
  </si>
  <si>
    <t>Follw up on LF inputs. Coordination and planning of comming layout workshops</t>
  </si>
  <si>
    <t>Dalux notifications and actions follow up</t>
  </si>
  <si>
    <t>Space management for equipment (Meeting with Sune and coordination with vendor) + Input to savings catalogue, general coordination and follow-up + Revit/drawings.</t>
  </si>
  <si>
    <t>Shipment updates. Economy follow up</t>
  </si>
  <si>
    <t>Radiator / suspended table solution + budget update</t>
  </si>
  <si>
    <t>Zystm updates review, commetns and follow ups</t>
  </si>
  <si>
    <t>Installation plan, Equipment List - EL tower clarification</t>
  </si>
  <si>
    <t>Status and update on delivery plans. Status and coorination with John</t>
  </si>
  <si>
    <t>Layout updates review from GLI/LF. Comments and updates</t>
  </si>
  <si>
    <t xml:space="preserve">Layout clarifications and guidance. Project coordination </t>
  </si>
  <si>
    <t>Reading mails, follow up</t>
  </si>
  <si>
    <t xml:space="preserve">Preparing conditions for installation </t>
  </si>
  <si>
    <t>Reading mails, coordination, follow up</t>
  </si>
  <si>
    <t>Rumstyring og VENT afklaring. Dialog og afklaringer med Labvent</t>
  </si>
  <si>
    <t>Interface discussion/clarification. Equipment updates</t>
  </si>
  <si>
    <t>LF internal project meeting. Layout meeting - clarification and coordination with GLI. Budget updates</t>
  </si>
  <si>
    <t>LF projekt meeting. Status and coordination on installation - site inputs and status from John. Follow up on planning / deliveries 0 installation with team</t>
  </si>
  <si>
    <t>Prepare for site registration + status meeting with WUSK… Project scope / plan ovwerview</t>
  </si>
  <si>
    <t>Scope assistance</t>
  </si>
  <si>
    <t>Lab utility design meeting + follow-up actions. Coordination and detailing.</t>
  </si>
  <si>
    <t>Follow-up meeting with WUSK + Prepare for site equipment registration.</t>
  </si>
  <si>
    <t>Supplier coordination and information gathering (space, requirements etc.). 3D modelling / detail design. General coordination and follow-up.</t>
  </si>
  <si>
    <t>Silas</t>
  </si>
  <si>
    <t>Sylwia</t>
  </si>
  <si>
    <t>CCRM Nordic</t>
  </si>
  <si>
    <t>Kyodo Projects</t>
  </si>
  <si>
    <t>GL</t>
  </si>
  <si>
    <t>HB-1 Interim</t>
  </si>
  <si>
    <t>HB-2 Interim</t>
  </si>
  <si>
    <t>Workshop at site HI + Follow-up / coordination</t>
  </si>
  <si>
    <t>Follow-up on workshops / consolidating. Area disposition for Kogle Alle. Dialogue with Søs on classifications and AnaDev requirements.</t>
  </si>
  <si>
    <t>Status and alignment meeting with Pai + Mads B. Follow up on clarification and planning</t>
  </si>
  <si>
    <t xml:space="preserve">Follow-up on workshops / consolidating. Area disposition (Layout) for Kogle Alle. </t>
  </si>
  <si>
    <t>Economy follow up. Layout clarifications and detailing. Planinng and coordination with LF + AZ team</t>
  </si>
  <si>
    <t>Layout clarifications and detailing. Planinng and coordination with LF + AZ team</t>
  </si>
  <si>
    <t>Layout clarifications and detailing. Planinng and coordination with LF + AZ team. RFP updates</t>
  </si>
  <si>
    <t>Status meeting with AFRY + DTU SP. Area disposition (KA1), Follow-up on RFP's + EQL and layout meeting with Nanna &amp; Kristian.</t>
  </si>
  <si>
    <t>Weekly design meeting with AZ design team. RFP + Layout clarifications. Budget and timeline build up</t>
  </si>
  <si>
    <t>DTU KA1 WS #4 EQL, initial layout review. Layout clarification and skecthing. Follow up on workshops</t>
  </si>
  <si>
    <t>Follow up on time, economy + sövlåda feedback and planning</t>
  </si>
  <si>
    <t>Leverance- og montageplan. Koordinering af lev. Montage for kommende uge</t>
  </si>
  <si>
    <t>Økonomimøde. End year budget. Koordinering med design. Follow up and clarifications</t>
  </si>
  <si>
    <t>Main grid and area disposition</t>
  </si>
  <si>
    <t>Leverance- og montageplan. Koordinering af lev. Montage for kommende uge. Clarifications and layout</t>
  </si>
  <si>
    <t>Layout adjustments. Planning workshops. LoD / timeschedule and general follow-up.</t>
  </si>
  <si>
    <t>RFP clean-up for QC Chrom.</t>
  </si>
  <si>
    <t>Site registration part 2. Final labs in GF</t>
  </si>
  <si>
    <t>Status meeting with AZ + LF. Sovlåda test findings follow up</t>
  </si>
  <si>
    <t>Project execution; planning and coordination. Clarifications with LF + AZ</t>
  </si>
  <si>
    <t>AZ HB2 follow up + Diroots tool</t>
  </si>
  <si>
    <t>+ Sylwia (2,5)</t>
  </si>
  <si>
    <t>Silas (3,5)</t>
  </si>
  <si>
    <t>+ Sylwia (1)</t>
  </si>
  <si>
    <t>Planning and prep work</t>
  </si>
  <si>
    <t>Follow up and planning</t>
  </si>
  <si>
    <t>Planning, presets</t>
  </si>
  <si>
    <t>Planning, modelling, EQL intro + S</t>
  </si>
  <si>
    <t>B97 - CD</t>
  </si>
  <si>
    <t>KA1 - CD</t>
  </si>
  <si>
    <t>Design planning, floor plan and updates, archetypes kickoff (+ S)</t>
  </si>
  <si>
    <t>Planning and coordination with LF team. Delivery and installation coordination</t>
  </si>
  <si>
    <t>Planning and coordination of protoype testings</t>
  </si>
  <si>
    <t>Delivery and installation planning and coordination</t>
  </si>
  <si>
    <t>Layout updates. Building blocks kick-off. EQL clarification and updates. Coordination</t>
  </si>
  <si>
    <t>Status and alignment with DTU Eng team. Layout clarification. Building blocks kick-off. EQL clarification and updates. Coordination</t>
  </si>
  <si>
    <t>Layout clarification with LF + AZ teams. LF projekt meeting. Budget/Economy updates</t>
  </si>
  <si>
    <t>Status, clarification and coordination with John. LF project meeting. Project planning and coordination</t>
  </si>
  <si>
    <t>Weekly status and alignment with LF + AZ team. Coordination of tests in week 50</t>
  </si>
  <si>
    <t>Project meeting with MMXN + NNAE. Follow-up with VLA and planning material for friday.</t>
  </si>
  <si>
    <t>QC Chem + MMXN status and alignment. Layout clarifications. Building blocks + EQL</t>
  </si>
  <si>
    <t>Status meeting (AFRY, NN &amp; Kyodo). Building Blocks prep. and follow-up. Utility overview prep. and issue. Classification plan update. Action tracker. Coordination and planning workshops and approach.</t>
  </si>
  <si>
    <t>NN/AFRY/Kyodo alignment meeting. Layout + area clarifications. Building blocks. EQL build ups. AFRY questions and answers</t>
  </si>
  <si>
    <t>Layout + Dalux clarifications. Budget/Offert. Planning and coordination</t>
  </si>
  <si>
    <t>Layout + Dalux clarifications. Budget/Offert. Planning and coordination. Powder FH + special solutions clarifications</t>
  </si>
  <si>
    <t>Layout clarification and updates. Project planning - demount + installation + deliveries. Warehouse / LE reuse coordination</t>
  </si>
  <si>
    <t>updates, specials coordination</t>
  </si>
  <si>
    <t>modelling, clarificaitons</t>
  </si>
  <si>
    <t>Status and coordination with John + AZ team. Delivery + installation planning</t>
  </si>
  <si>
    <t>on site coordination</t>
  </si>
  <si>
    <t>modelling, take out coordination</t>
  </si>
  <si>
    <t>Time planning updates. Prep and coordination for new project approach - for dialouge with BRA Bygg</t>
  </si>
  <si>
    <t>Prep for mock-up testing v50. Follow up actions and coordination</t>
  </si>
  <si>
    <t>Project execution; Planning and coordination on site with John, GL + AZ team. Dalux/KS updates. Clarification. Planning of deliveries and installation</t>
  </si>
  <si>
    <t>Site registrations for layout updates. Dalux + Drawings. Design clarification. Coordination</t>
  </si>
  <si>
    <t>Design meeting with AZ team. Clarification meetings with AZ design team + Anita. Site registrations</t>
  </si>
  <si>
    <t>Building blocks clarifications and follow up with team</t>
  </si>
  <si>
    <t>Building blocks clarifications and follow up with team. Prep and coordination for workshops</t>
  </si>
  <si>
    <t>Meetin with AFRY, DTU SC and WUSK. Workshops with QC, Chem and QC, Chrom. Follow-up and alignemt.</t>
  </si>
  <si>
    <t>Prep. material for DTU Ing. Teamet</t>
  </si>
  <si>
    <t>Planning material for friday to DTU SC Ing team.</t>
  </si>
  <si>
    <t>Building Block meetings w/ Nanna. EQL/Building Blocks for AnaDev + calls and coordination. Workshop preparation and planning.</t>
  </si>
  <si>
    <t>special design coordination, project meeting, model upgrade to Revit2026, el interface coordination, and EL tower design</t>
  </si>
  <si>
    <t>Argongatten warehouse regs, drawing lists, existing conditions regs and clarifications</t>
  </si>
  <si>
    <t>Modelling / drawing + follow-up</t>
  </si>
  <si>
    <t>design clarifications</t>
  </si>
  <si>
    <t>planning, mondelling with Sylwia</t>
  </si>
  <si>
    <t>layout overiew updates</t>
  </si>
  <si>
    <t>project meeting</t>
  </si>
  <si>
    <t>planning, archetypes, layout updates</t>
  </si>
  <si>
    <t>modelling and drawing principles</t>
  </si>
  <si>
    <t>Contract, insurance, guarantees</t>
  </si>
  <si>
    <t>Status and follow up with Jan Ponsford</t>
  </si>
  <si>
    <t xml:space="preserve">RFP finalization (current stage) med Nanna. Prep for "download" med nyt team. </t>
  </si>
  <si>
    <t>RFP workshop with NNAE + follow-up / finalization. EQL update. Status meeting preparation for tomorrow. Mails and coordination.</t>
  </si>
  <si>
    <t>Expansion program meeting. HVAC arbejdsmøde med ing. team. Prep. and follow-up.</t>
  </si>
  <si>
    <t>CCRM - DD &amp; Exe</t>
  </si>
  <si>
    <t>Intro / status meeting for NN intern org. AFRY/NN budget workshop. EQL budget assistance for Chem + Chrom (tight deadline). Update drawings and issue. Coordination and planning.</t>
  </si>
  <si>
    <t>EQL and check new drawings.</t>
  </si>
  <si>
    <t>Orders and delivery status, planning and coordination. Follow up with John on installation</t>
  </si>
  <si>
    <t>Orders and delivery status, planning and coordination. Follow up with John on installation. Budget / Economy coordination and follow up</t>
  </si>
  <si>
    <t>AZ design meeting with AZ team. Laout clarification and follow up with LF team. Dalux comments and updates</t>
  </si>
  <si>
    <t xml:space="preserve">AZ design meeting with AZ team. Laout clarification and follow up with LF team. Dalux comments and updates. </t>
  </si>
  <si>
    <t>New NN team introduction meeting - prep and follow up of presentation. Budget/Economy meetings an - follow up on calculations</t>
  </si>
  <si>
    <t>EQL verification and check new drawings from VLA/Artelia</t>
  </si>
  <si>
    <t>Orders and delivery status, planning and coordination. Follow up with John on installation. Budget / Economy coordination and follow up. Change updates</t>
  </si>
  <si>
    <t>EQL + Prepare for user workshop 2.1.</t>
  </si>
  <si>
    <t>Budget sprint (TPC, Lab equipment, scientific equipment). Budget meetings with AFRY and NN. Coordination and planning with users regarding input etc.</t>
  </si>
  <si>
    <t>Issue contract for digital signature.</t>
  </si>
  <si>
    <t>Prep. contract for digital signature. Insurance request / details.</t>
  </si>
  <si>
    <t>Contract, insurance, guarantees. Layout follow up and clarifications.</t>
  </si>
  <si>
    <t>AZ design meeting. Layout updates and clarifications with LF team. Status, clarification and coordination with John. Budget + Economy clarification and pudates</t>
  </si>
  <si>
    <t>AZ design meeting. Layout changes - clarification and follow up with Lfteam + AZ. Budget + Economy clarification and updates</t>
  </si>
  <si>
    <t>Dalux follow up - layout clarifications. Budget + Economy clarification and updates. Drawing updates to/with Amanda</t>
  </si>
  <si>
    <t>Dalux follow up - layout clarifications. Budget + Economy clarification and updates. Drawing updates to/with Amanda. Samgranskningsmøde med AZ team</t>
  </si>
  <si>
    <t>Planning and coordination of deliveries + installation with LF Supply + John</t>
  </si>
  <si>
    <t>Economy/Budget estimates and meetings + user follow up</t>
  </si>
  <si>
    <t>Prep for user meeting with DTU team FRI</t>
  </si>
  <si>
    <t>Status and follow up on dry fit tests- Shipment coordination. Installation prep</t>
  </si>
  <si>
    <t>User workshop 2.1 (Last preparation + Attendance in Hørsholm) + Follow-up on workshop actions.</t>
  </si>
  <si>
    <t>(Haste) budget, coordination and planning.</t>
  </si>
  <si>
    <t xml:space="preserve">EQL updates. Budget clarifications and updates </t>
  </si>
  <si>
    <t xml:space="preserve">LF weekly project meeting. Planning and coordination with John + CAA. </t>
  </si>
  <si>
    <t>Design and layout clarifications with AZ team + Amanda and CAA. LF weekly project meeting</t>
  </si>
  <si>
    <t>Layout updates and clarification. Prep of installation. Planning and coordination. Budget updates</t>
  </si>
  <si>
    <t>Project planning and coordination for week 50</t>
  </si>
  <si>
    <t>Dalux comments - clarification and updates</t>
  </si>
  <si>
    <t>Layout changes due to changed equipment</t>
  </si>
  <si>
    <t>Planning, coordination, LAF-roofs follow up</t>
  </si>
  <si>
    <t>Handover meeting, punch list and follow up</t>
  </si>
  <si>
    <t>Site inspection and registration</t>
  </si>
  <si>
    <t>Planning, LAF-roofs, coordination and follow up</t>
  </si>
  <si>
    <t>Handover protocol meeting, coordination and follow up</t>
  </si>
  <si>
    <t>LAF-roof FAT at Nordic Labtech facility</t>
  </si>
  <si>
    <t>FAT follow up, Coordination with fitters, weekly reporting</t>
  </si>
  <si>
    <t>Handover meeting and protocol, follow up</t>
  </si>
  <si>
    <t>Order preparation</t>
  </si>
  <si>
    <t>Documentation and test protocol meeting, handover process meeting, meeting with Niel, Meeting with Anna, FIP documentation, coordination and follow up on site.</t>
  </si>
  <si>
    <t>Electrical punches and follow up</t>
  </si>
  <si>
    <t>Relation diagram</t>
  </si>
  <si>
    <t>FIP protocols, Handover protocols, EIDA documents handeling and upload, progress reporting, planning, coordination and follow up</t>
  </si>
  <si>
    <t>Handover and follow up</t>
  </si>
  <si>
    <t>Relation diagram, EQL</t>
  </si>
  <si>
    <t>Progress/planning, weekly progress meeting, follow up</t>
  </si>
  <si>
    <t>Lab concepts, EQL</t>
  </si>
  <si>
    <t>Weekly reporting, follow up meeting with Jørgen, Bi-weekly status meeting, progress and planning, follow up</t>
  </si>
  <si>
    <t>Bi-weekly status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</si>
</sst>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#,##0\ &quot;kr.&quot;;\-#,##0\ &quot;kr.&quot;"/>
    <numFmt numFmtId="43" formatCode="_-* #,##0.00_-;\-* #,##0.00_-;_-* &quot;-&quot;??_-;_-@_-"/>
    <numFmt numFmtId="164" formatCode="[$-F400]h:mm:ss\ AM/PM"/>
    <numFmt numFmtId="165" formatCode="0.0"/>
    <numFmt numFmtId="167" formatCode="#,##0\ &quot;kr.&quot;"/>
    <numFmt numFmtId="168" formatCode="#,##0.0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1"/>
      <color theme="1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sz val="14"/>
      <name val="Aptos Black"/>
      <family val="2"/>
    </font>
    <font>
      <b/>
      <sz val="11"/>
      <color theme="1"/>
      <name val="Aptos Black"/>
      <family val="2"/>
    </font>
    <font>
      <sz val="11"/>
      <color theme="0"/>
      <name val="Aptos Black"/>
      <family val="2"/>
    </font>
    <font>
      <sz val="9"/>
      <color theme="1"/>
      <name val="Aptos"/>
      <family val="2"/>
    </font>
    <font>
      <sz val="11"/>
      <name val="Aptos"/>
      <family val="2"/>
    </font>
    <font>
      <sz val="11"/>
      <color theme="0" tint="-0.499984740745262"/>
      <name val="Aptos"/>
      <family val="2"/>
    </font>
    <font>
      <b/>
      <sz val="11"/>
      <name val="Aptos"/>
      <family val="2"/>
    </font>
    <font>
      <b/>
      <sz val="11"/>
      <color theme="0" tint="-0.499984740745262"/>
      <name val="Aptos"/>
      <family val="2"/>
    </font>
    <font>
      <sz val="8"/>
      <color theme="0" tint="-0.249977111117893"/>
      <name val="Aptos"/>
      <family val="2"/>
    </font>
    <font>
      <b/>
      <sz val="8"/>
      <color theme="0" tint="-0.249977111117893"/>
      <name val="Aptos"/>
      <family val="2"/>
    </font>
    <font>
      <sz val="10"/>
      <color rgb="FFFFC000"/>
      <name val="Aptos"/>
      <family val="2"/>
    </font>
    <font>
      <b/>
      <sz val="11"/>
      <name val="Aptos Black"/>
      <family val="2"/>
    </font>
    <font>
      <sz val="8"/>
      <name val="Calibri"/>
      <family val="2"/>
      <scheme val="minor"/>
    </font>
    <font>
      <sz val="8"/>
      <name val="Aptos"/>
      <family val="2"/>
    </font>
    <font>
      <sz val="11"/>
      <color theme="4"/>
      <name val="Aptos"/>
      <family val="2"/>
    </font>
    <font>
      <sz val="11"/>
      <color theme="4"/>
      <name val="Aptos Black"/>
      <family val="2"/>
    </font>
    <font>
      <sz val="9"/>
      <color theme="4"/>
      <name val="Aptos"/>
      <family val="2"/>
    </font>
    <font>
      <sz val="10"/>
      <color theme="4"/>
      <name val="Aptos"/>
      <family val="2"/>
    </font>
    <font>
      <b/>
      <sz val="11"/>
      <color theme="4"/>
      <name val="Aptos"/>
      <family val="2"/>
    </font>
    <font>
      <sz val="8"/>
      <color theme="0" tint="-0.34998626667073579"/>
      <name val="Aptos"/>
      <family val="2"/>
    </font>
    <font>
      <sz val="9"/>
      <color theme="4"/>
      <name val="Aptos Black"/>
      <family val="2"/>
    </font>
    <font>
      <b/>
      <sz val="10"/>
      <color theme="4"/>
      <name val="Aptos"/>
      <family val="2"/>
    </font>
    <font>
      <sz val="8"/>
      <color theme="4"/>
      <name val="Aptos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 Black"/>
      <family val="2"/>
    </font>
    <font>
      <sz val="8"/>
      <color theme="0" tint="-0.249977111117893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sz val="11"/>
      <color theme="4"/>
      <name val="Aptos"/>
      <family val="2"/>
    </font>
    <font>
      <sz val="10"/>
      <name val="Aptos"/>
      <family val="2"/>
    </font>
    <font>
      <sz val="10"/>
      <name val="Aptos"/>
      <family val="2"/>
    </font>
    <font>
      <sz val="10"/>
      <name val="Aptos"/>
      <family val="2"/>
    </font>
    <font>
      <i/>
      <sz val="8"/>
      <color theme="0" tint="-0.14999847407452621"/>
      <name val="Aptos"/>
      <family val="2"/>
    </font>
    <font>
      <sz val="10"/>
      <name val="Aptos"/>
      <family val="2"/>
    </font>
    <font>
      <sz val="10"/>
      <name val="Aptos"/>
      <family val="2"/>
    </font>
    <font>
      <sz val="10"/>
      <name val="Aptos"/>
      <family val="2"/>
    </font>
    <font>
      <sz val="10"/>
      <name val="Aptos"/>
      <family val="2"/>
    </font>
    <font>
      <sz val="10"/>
      <name val="Aptos"/>
      <family val="2"/>
    </font>
    <font>
      <sz val="10"/>
      <name val="Aptos"/>
      <family val="2"/>
    </font>
    <font>
      <sz val="10"/>
      <name val="Aptos"/>
      <family val="2"/>
    </font>
    <font>
      <sz val="11"/>
      <color theme="1"/>
      <name val="Aptos"/>
      <family val="2"/>
    </font>
    <font>
      <sz val="11"/>
      <color theme="4"/>
      <name val="Aptos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sz val="10"/>
      <name val="Aptos"/>
      <family val="2"/>
    </font>
    <font>
      <sz val="10"/>
      <name val="Aptos"/>
      <family val="2"/>
    </font>
    <font>
      <sz val="1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/>
        <bgColor theme="7"/>
      </patternFill>
    </fill>
  </fills>
  <borders count="9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/>
      <top/>
      <bottom style="thin">
        <color theme="7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9" borderId="7" applyNumberFormat="0" applyAlignment="0" applyProtection="0"/>
  </cellStyleXfs>
  <cellXfs count="199">
    <xf numFmtId="0" fontId="0" fillId="0" borderId="0" xfId="0"/>
    <xf numFmtId="0" fontId="6" fillId="3" borderId="0" xfId="0" applyFont="1" applyFill="1"/>
    <xf numFmtId="0" fontId="9" fillId="3" borderId="0" xfId="0" applyFont="1" applyFill="1"/>
    <xf numFmtId="0" fontId="2" fillId="3" borderId="0" xfId="0" applyFont="1" applyFill="1"/>
    <xf numFmtId="0" fontId="10" fillId="5" borderId="0" xfId="0" applyFont="1" applyFill="1" applyAlignment="1" applyProtection="1">
      <alignment horizontal="left" vertical="center"/>
      <protection locked="0"/>
    </xf>
    <xf numFmtId="9" fontId="2" fillId="3" borderId="0" xfId="2" applyFont="1" applyFill="1"/>
    <xf numFmtId="0" fontId="2" fillId="0" borderId="0" xfId="0" applyFont="1"/>
    <xf numFmtId="0" fontId="5" fillId="0" borderId="0" xfId="0" applyFont="1" applyAlignment="1">
      <alignment wrapText="1"/>
    </xf>
    <xf numFmtId="9" fontId="11" fillId="0" borderId="0" xfId="2" applyFont="1" applyFill="1"/>
    <xf numFmtId="0" fontId="2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26" fillId="0" borderId="0" xfId="0" applyFont="1" applyAlignment="1">
      <alignment wrapText="1"/>
    </xf>
    <xf numFmtId="0" fontId="2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1" fillId="9" borderId="7" xfId="3"/>
    <xf numFmtId="0" fontId="7" fillId="0" borderId="0" xfId="0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vertical="top" wrapText="1"/>
      <protection locked="0"/>
    </xf>
    <xf numFmtId="14" fontId="7" fillId="0" borderId="0" xfId="0" applyNumberFormat="1" applyFont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164" fontId="7" fillId="0" borderId="0" xfId="0" applyNumberFormat="1" applyFont="1" applyAlignment="1" applyProtection="1">
      <alignment vertical="top" wrapText="1"/>
      <protection locked="0"/>
    </xf>
    <xf numFmtId="165" fontId="7" fillId="0" borderId="0" xfId="0" applyNumberFormat="1" applyFont="1" applyAlignment="1" applyProtection="1">
      <alignment vertical="top"/>
      <protection locked="0"/>
    </xf>
    <xf numFmtId="0" fontId="33" fillId="3" borderId="0" xfId="0" applyFont="1" applyFill="1"/>
    <xf numFmtId="0" fontId="34" fillId="2" borderId="0" xfId="0" applyFont="1" applyFill="1" applyAlignment="1">
      <alignment horizontal="left"/>
    </xf>
    <xf numFmtId="0" fontId="32" fillId="8" borderId="1" xfId="0" applyFont="1" applyFill="1" applyBorder="1"/>
    <xf numFmtId="0" fontId="32" fillId="0" borderId="1" xfId="0" applyFont="1" applyBorder="1"/>
    <xf numFmtId="0" fontId="32" fillId="8" borderId="2" xfId="0" applyFont="1" applyFill="1" applyBorder="1"/>
    <xf numFmtId="0" fontId="32" fillId="0" borderId="2" xfId="0" applyFont="1" applyBorder="1"/>
    <xf numFmtId="0" fontId="35" fillId="10" borderId="6" xfId="0" applyFont="1" applyFill="1" applyBorder="1" applyAlignment="1">
      <alignment horizontal="left" vertical="center"/>
    </xf>
    <xf numFmtId="0" fontId="35" fillId="10" borderId="8" xfId="0" applyFont="1" applyFill="1" applyBorder="1" applyAlignment="1">
      <alignment horizontal="left" vertical="center"/>
    </xf>
    <xf numFmtId="0" fontId="32" fillId="0" borderId="5" xfId="0" applyFont="1" applyBorder="1"/>
    <xf numFmtId="0" fontId="32" fillId="0" borderId="4" xfId="0" applyFont="1" applyBorder="1"/>
    <xf numFmtId="165" fontId="2" fillId="0" borderId="0" xfId="0" applyNumberFormat="1" applyFont="1"/>
    <xf numFmtId="14" fontId="7" fillId="0" borderId="2" xfId="0" applyNumberFormat="1" applyFont="1" applyBorder="1" applyAlignment="1" applyProtection="1">
      <alignment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vertical="top" wrapText="1"/>
      <protection locked="0"/>
    </xf>
    <xf numFmtId="0" fontId="7" fillId="0" borderId="2" xfId="0" applyFont="1" applyBorder="1" applyAlignment="1" applyProtection="1">
      <alignment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164" fontId="7" fillId="0" borderId="2" xfId="0" applyNumberFormat="1" applyFont="1" applyBorder="1" applyAlignment="1" applyProtection="1">
      <alignment vertical="top" wrapText="1"/>
      <protection locked="0"/>
    </xf>
    <xf numFmtId="165" fontId="7" fillId="0" borderId="2" xfId="0" applyNumberFormat="1" applyFont="1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horizontal="left" vertical="top"/>
      <protection locked="0"/>
    </xf>
    <xf numFmtId="0" fontId="7" fillId="0" borderId="5" xfId="0" applyFont="1" applyBorder="1" applyAlignment="1" applyProtection="1">
      <alignment horizontal="left" vertical="top"/>
      <protection locked="0"/>
    </xf>
    <xf numFmtId="0" fontId="7" fillId="0" borderId="5" xfId="0" applyFont="1" applyBorder="1" applyAlignment="1" applyProtection="1">
      <alignment vertical="top" wrapText="1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horizontal="right"/>
    </xf>
    <xf numFmtId="14" fontId="22" fillId="0" borderId="0" xfId="0" applyNumberFormat="1" applyFont="1" applyAlignment="1">
      <alignment horizontal="right"/>
    </xf>
    <xf numFmtId="0" fontId="7" fillId="0" borderId="0" xfId="0" applyFont="1" applyAlignment="1" applyProtection="1">
      <alignment horizontal="right" vertical="top" wrapText="1"/>
      <protection locked="0"/>
    </xf>
    <xf numFmtId="0" fontId="36" fillId="0" borderId="0" xfId="0" applyFont="1"/>
    <xf numFmtId="0" fontId="36" fillId="0" borderId="0" xfId="0" applyFont="1" applyAlignment="1">
      <alignment horizontal="right"/>
    </xf>
    <xf numFmtId="14" fontId="36" fillId="0" borderId="0" xfId="0" applyNumberFormat="1" applyFont="1" applyAlignment="1">
      <alignment horizontal="right"/>
    </xf>
    <xf numFmtId="14" fontId="37" fillId="0" borderId="0" xfId="0" applyNumberFormat="1" applyFont="1" applyAlignment="1">
      <alignment horizontal="right"/>
    </xf>
    <xf numFmtId="0" fontId="36" fillId="0" borderId="0" xfId="0" applyFont="1" applyAlignment="1">
      <alignment horizontal="center"/>
    </xf>
    <xf numFmtId="0" fontId="37" fillId="0" borderId="0" xfId="0" applyFont="1"/>
    <xf numFmtId="0" fontId="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2" fillId="0" borderId="2" xfId="0" applyFont="1" applyBorder="1"/>
    <xf numFmtId="9" fontId="31" fillId="9" borderId="7" xfId="2" applyFont="1" applyFill="1" applyBorder="1"/>
    <xf numFmtId="14" fontId="38" fillId="0" borderId="0" xfId="0" applyNumberFormat="1" applyFont="1" applyAlignment="1" applyProtection="1">
      <alignment vertical="top"/>
      <protection locked="0"/>
    </xf>
    <xf numFmtId="0" fontId="38" fillId="0" borderId="0" xfId="0" applyFont="1" applyAlignment="1" applyProtection="1">
      <alignment vertical="top"/>
      <protection locked="0"/>
    </xf>
    <xf numFmtId="0" fontId="39" fillId="0" borderId="0" xfId="0" applyFont="1" applyAlignment="1" applyProtection="1">
      <alignment horizontal="left" vertical="top"/>
      <protection locked="0"/>
    </xf>
    <xf numFmtId="0" fontId="39" fillId="0" borderId="0" xfId="0" applyFont="1" applyAlignment="1" applyProtection="1">
      <alignment vertical="top" wrapText="1"/>
      <protection locked="0"/>
    </xf>
    <xf numFmtId="14" fontId="39" fillId="0" borderId="0" xfId="0" applyNumberFormat="1" applyFont="1" applyAlignment="1" applyProtection="1">
      <alignment vertical="top"/>
      <protection locked="0"/>
    </xf>
    <xf numFmtId="0" fontId="39" fillId="0" borderId="0" xfId="0" applyFont="1" applyAlignment="1" applyProtection="1">
      <alignment vertical="top"/>
      <protection locked="0"/>
    </xf>
    <xf numFmtId="0" fontId="40" fillId="0" borderId="0" xfId="0" applyFont="1" applyAlignment="1" applyProtection="1">
      <alignment horizontal="left" vertical="top"/>
      <protection locked="0"/>
    </xf>
    <xf numFmtId="0" fontId="40" fillId="0" borderId="0" xfId="0" applyFont="1" applyAlignment="1" applyProtection="1">
      <alignment vertical="top" wrapText="1"/>
      <protection locked="0"/>
    </xf>
    <xf numFmtId="14" fontId="40" fillId="0" borderId="0" xfId="0" applyNumberFormat="1" applyFont="1" applyAlignment="1" applyProtection="1">
      <alignment vertical="top"/>
      <protection locked="0"/>
    </xf>
    <xf numFmtId="0" fontId="40" fillId="0" borderId="0" xfId="0" applyFont="1" applyAlignment="1" applyProtection="1">
      <alignment vertical="top"/>
      <protection locked="0"/>
    </xf>
    <xf numFmtId="0" fontId="7" fillId="0" borderId="2" xfId="0" applyFont="1" applyBorder="1" applyAlignment="1" applyProtection="1">
      <alignment horizontal="right" vertical="top" wrapText="1"/>
      <protection locked="0"/>
    </xf>
    <xf numFmtId="0" fontId="7" fillId="0" borderId="5" xfId="0" applyFont="1" applyBorder="1" applyAlignment="1" applyProtection="1">
      <alignment horizontal="right" vertical="top" wrapText="1"/>
      <protection locked="0"/>
    </xf>
    <xf numFmtId="0" fontId="40" fillId="0" borderId="1" xfId="0" applyFont="1" applyBorder="1" applyAlignment="1" applyProtection="1">
      <alignment horizontal="left" vertical="top"/>
      <protection locked="0"/>
    </xf>
    <xf numFmtId="0" fontId="38" fillId="0" borderId="4" xfId="0" applyFont="1" applyBorder="1" applyAlignment="1" applyProtection="1">
      <alignment horizontal="left" vertical="top"/>
      <protection locked="0"/>
    </xf>
    <xf numFmtId="0" fontId="40" fillId="0" borderId="2" xfId="0" applyFont="1" applyBorder="1" applyAlignment="1" applyProtection="1">
      <alignment horizontal="left" vertical="top"/>
      <protection locked="0"/>
    </xf>
    <xf numFmtId="0" fontId="38" fillId="0" borderId="5" xfId="0" applyFont="1" applyBorder="1" applyAlignment="1" applyProtection="1">
      <alignment horizontal="left" vertical="top"/>
      <protection locked="0"/>
    </xf>
    <xf numFmtId="0" fontId="40" fillId="0" borderId="2" xfId="0" applyFont="1" applyBorder="1" applyAlignment="1" applyProtection="1">
      <alignment vertical="top" wrapText="1"/>
      <protection locked="0"/>
    </xf>
    <xf numFmtId="0" fontId="38" fillId="0" borderId="5" xfId="0" applyFont="1" applyBorder="1" applyAlignment="1" applyProtection="1">
      <alignment vertical="top" wrapText="1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25" fillId="0" borderId="0" xfId="0" applyFont="1" applyAlignment="1">
      <alignment vertical="top"/>
    </xf>
    <xf numFmtId="0" fontId="29" fillId="3" borderId="0" xfId="0" applyFont="1" applyFill="1"/>
    <xf numFmtId="0" fontId="30" fillId="2" borderId="0" xfId="0" applyFont="1" applyFill="1" applyAlignment="1">
      <alignment horizontal="left"/>
    </xf>
    <xf numFmtId="0" fontId="21" fillId="2" borderId="0" xfId="0" applyFont="1" applyFill="1" applyAlignment="1">
      <alignment horizontal="left"/>
    </xf>
    <xf numFmtId="0" fontId="22" fillId="3" borderId="0" xfId="0" applyFont="1" applyFill="1" applyAlignment="1">
      <alignment horizontal="left"/>
    </xf>
    <xf numFmtId="0" fontId="23" fillId="5" borderId="0" xfId="0" applyFont="1" applyFill="1" applyAlignment="1">
      <alignment horizontal="left" vertical="center" wrapText="1"/>
    </xf>
    <xf numFmtId="0" fontId="25" fillId="0" borderId="0" xfId="0" applyFont="1"/>
    <xf numFmtId="14" fontId="25" fillId="0" borderId="0" xfId="0" applyNumberFormat="1" applyFont="1" applyAlignment="1">
      <alignment vertical="top"/>
    </xf>
    <xf numFmtId="0" fontId="8" fillId="3" borderId="0" xfId="0" applyFont="1" applyFill="1" applyProtection="1">
      <protection locked="0"/>
    </xf>
    <xf numFmtId="0" fontId="6" fillId="3" borderId="0" xfId="0" applyFont="1" applyFill="1" applyProtection="1">
      <protection locked="0"/>
    </xf>
    <xf numFmtId="0" fontId="6" fillId="3" borderId="0" xfId="0" applyFont="1" applyFill="1" applyAlignment="1" applyProtection="1">
      <alignment horizontal="right"/>
      <protection locked="0"/>
    </xf>
    <xf numFmtId="0" fontId="6" fillId="3" borderId="0" xfId="0" applyFont="1" applyFill="1" applyAlignment="1" applyProtection="1">
      <alignment horizontal="left"/>
      <protection locked="0"/>
    </xf>
    <xf numFmtId="0" fontId="6" fillId="3" borderId="0" xfId="0" applyFont="1" applyFill="1" applyAlignment="1" applyProtection="1">
      <alignment wrapText="1"/>
      <protection locked="0"/>
    </xf>
    <xf numFmtId="164" fontId="6" fillId="3" borderId="0" xfId="0" applyNumberFormat="1" applyFont="1" applyFill="1" applyProtection="1">
      <protection locked="0"/>
    </xf>
    <xf numFmtId="0" fontId="7" fillId="3" borderId="0" xfId="0" applyFont="1" applyFill="1" applyProtection="1">
      <protection locked="0"/>
    </xf>
    <xf numFmtId="167" fontId="6" fillId="3" borderId="0" xfId="0" applyNumberFormat="1" applyFont="1" applyFill="1" applyProtection="1"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7" fillId="3" borderId="0" xfId="0" applyFont="1" applyFill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18" fillId="3" borderId="0" xfId="0" applyFont="1" applyFill="1" applyProtection="1">
      <protection locked="0"/>
    </xf>
    <xf numFmtId="0" fontId="16" fillId="2" borderId="0" xfId="0" applyFont="1" applyFill="1" applyAlignment="1" applyProtection="1">
      <alignment horizontal="left"/>
      <protection locked="0"/>
    </xf>
    <xf numFmtId="0" fontId="16" fillId="4" borderId="0" xfId="0" applyFont="1" applyFill="1" applyAlignment="1" applyProtection="1">
      <alignment horizontal="left"/>
      <protection locked="0"/>
    </xf>
    <xf numFmtId="0" fontId="16" fillId="2" borderId="0" xfId="0" applyFont="1" applyFill="1" applyAlignment="1" applyProtection="1">
      <alignment horizontal="left" wrapText="1"/>
      <protection locked="0"/>
    </xf>
    <xf numFmtId="0" fontId="17" fillId="4" borderId="0" xfId="0" applyFont="1" applyFill="1" applyAlignment="1" applyProtection="1">
      <alignment horizontal="left"/>
      <protection locked="0"/>
    </xf>
    <xf numFmtId="0" fontId="19" fillId="3" borderId="0" xfId="0" applyFont="1" applyFill="1" applyAlignment="1" applyProtection="1">
      <alignment horizontal="left"/>
      <protection locked="0"/>
    </xf>
    <xf numFmtId="0" fontId="13" fillId="3" borderId="0" xfId="0" applyFont="1" applyFill="1" applyAlignment="1" applyProtection="1">
      <alignment horizontal="left"/>
      <protection locked="0"/>
    </xf>
    <xf numFmtId="0" fontId="13" fillId="3" borderId="0" xfId="0" applyFont="1" applyFill="1" applyAlignment="1" applyProtection="1">
      <alignment horizontal="left" wrapText="1"/>
      <protection locked="0"/>
    </xf>
    <xf numFmtId="167" fontId="14" fillId="6" borderId="0" xfId="0" applyNumberFormat="1" applyFont="1" applyFill="1" applyProtection="1">
      <protection locked="0"/>
    </xf>
    <xf numFmtId="0" fontId="15" fillId="3" borderId="0" xfId="0" applyFont="1" applyFill="1" applyAlignment="1" applyProtection="1">
      <alignment horizontal="center"/>
      <protection locked="0"/>
    </xf>
    <xf numFmtId="167" fontId="5" fillId="6" borderId="0" xfId="0" applyNumberFormat="1" applyFont="1" applyFill="1" applyProtection="1">
      <protection locked="0"/>
    </xf>
    <xf numFmtId="0" fontId="2" fillId="0" borderId="0" xfId="0" applyFont="1" applyProtection="1">
      <protection locked="0"/>
    </xf>
    <xf numFmtId="0" fontId="10" fillId="5" borderId="0" xfId="0" applyFont="1" applyFill="1" applyAlignment="1" applyProtection="1">
      <alignment horizontal="left" vertical="center" wrapText="1"/>
      <protection locked="0"/>
    </xf>
    <xf numFmtId="164" fontId="10" fillId="5" borderId="0" xfId="0" applyNumberFormat="1" applyFont="1" applyFill="1" applyAlignment="1" applyProtection="1">
      <alignment horizontal="left" vertical="center" wrapText="1"/>
      <protection locked="0"/>
    </xf>
    <xf numFmtId="0" fontId="10" fillId="7" borderId="0" xfId="0" applyFont="1" applyFill="1" applyAlignment="1" applyProtection="1">
      <alignment horizontal="center" vertical="center"/>
      <protection locked="0"/>
    </xf>
    <xf numFmtId="5" fontId="7" fillId="0" borderId="0" xfId="1" applyNumberFormat="1" applyFont="1" applyFill="1" applyAlignment="1" applyProtection="1">
      <alignment horizontal="right" vertical="top"/>
      <protection locked="0"/>
    </xf>
    <xf numFmtId="5" fontId="7" fillId="0" borderId="0" xfId="1" applyNumberFormat="1" applyFont="1" applyFill="1" applyAlignment="1" applyProtection="1">
      <alignment horizontal="center" vertical="top"/>
      <protection locked="0"/>
    </xf>
    <xf numFmtId="0" fontId="3" fillId="0" borderId="0" xfId="0" applyFont="1" applyAlignment="1" applyProtection="1">
      <alignment vertical="top"/>
      <protection locked="0"/>
    </xf>
    <xf numFmtId="5" fontId="7" fillId="0" borderId="0" xfId="0" applyNumberFormat="1" applyFont="1" applyAlignment="1" applyProtection="1">
      <alignment horizontal="right" vertical="top"/>
      <protection locked="0"/>
    </xf>
    <xf numFmtId="5" fontId="7" fillId="0" borderId="0" xfId="0" applyNumberFormat="1" applyFont="1" applyAlignment="1" applyProtection="1">
      <alignment horizontal="center" vertical="top"/>
      <protection locked="0"/>
    </xf>
    <xf numFmtId="5" fontId="7" fillId="0" borderId="2" xfId="0" applyNumberFormat="1" applyFont="1" applyBorder="1" applyAlignment="1" applyProtection="1">
      <alignment horizontal="right" vertical="top"/>
      <protection locked="0"/>
    </xf>
    <xf numFmtId="5" fontId="7" fillId="0" borderId="2" xfId="0" applyNumberFormat="1" applyFont="1" applyBorder="1" applyAlignment="1" applyProtection="1">
      <alignment horizontal="center" vertical="top"/>
      <protection locked="0"/>
    </xf>
    <xf numFmtId="5" fontId="7" fillId="0" borderId="3" xfId="0" applyNumberFormat="1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1" fillId="3" borderId="0" xfId="0" applyFont="1" applyFill="1" applyAlignment="1" applyProtection="1">
      <alignment horizontal="left"/>
      <protection locked="0"/>
    </xf>
    <xf numFmtId="14" fontId="42" fillId="0" borderId="0" xfId="0" applyNumberFormat="1" applyFont="1" applyAlignment="1" applyProtection="1">
      <alignment vertical="top"/>
      <protection locked="0"/>
    </xf>
    <xf numFmtId="0" fontId="42" fillId="0" borderId="0" xfId="0" applyFont="1" applyAlignment="1" applyProtection="1">
      <alignment vertical="top" wrapText="1"/>
      <protection locked="0"/>
    </xf>
    <xf numFmtId="0" fontId="42" fillId="0" borderId="0" xfId="0" applyFont="1" applyAlignment="1" applyProtection="1">
      <alignment horizontal="left" vertical="top"/>
      <protection locked="0"/>
    </xf>
    <xf numFmtId="0" fontId="43" fillId="0" borderId="0" xfId="0" applyFont="1" applyAlignment="1" applyProtection="1">
      <alignment horizontal="left" vertical="top"/>
      <protection locked="0"/>
    </xf>
    <xf numFmtId="0" fontId="43" fillId="0" borderId="0" xfId="0" applyFont="1" applyAlignment="1" applyProtection="1">
      <alignment vertical="top" wrapText="1"/>
      <protection locked="0"/>
    </xf>
    <xf numFmtId="0" fontId="43" fillId="0" borderId="0" xfId="0" applyFont="1" applyAlignment="1" applyProtection="1">
      <alignment horizontal="right" vertical="top" wrapText="1"/>
      <protection locked="0"/>
    </xf>
    <xf numFmtId="14" fontId="43" fillId="0" borderId="0" xfId="0" applyNumberFormat="1" applyFont="1" applyAlignment="1" applyProtection="1">
      <alignment vertical="top"/>
      <protection locked="0"/>
    </xf>
    <xf numFmtId="0" fontId="43" fillId="0" borderId="0" xfId="0" applyFont="1" applyAlignment="1" applyProtection="1">
      <alignment vertical="top"/>
      <protection locked="0"/>
    </xf>
    <xf numFmtId="0" fontId="44" fillId="0" borderId="0" xfId="0" applyFont="1" applyAlignment="1" applyProtection="1">
      <alignment horizontal="left" vertical="top"/>
      <protection locked="0"/>
    </xf>
    <xf numFmtId="0" fontId="44" fillId="0" borderId="0" xfId="0" applyFont="1" applyAlignment="1" applyProtection="1">
      <alignment vertical="top" wrapText="1"/>
      <protection locked="0"/>
    </xf>
    <xf numFmtId="14" fontId="44" fillId="0" borderId="0" xfId="0" applyNumberFormat="1" applyFont="1" applyAlignment="1" applyProtection="1">
      <alignment vertical="top"/>
      <protection locked="0"/>
    </xf>
    <xf numFmtId="0" fontId="44" fillId="0" borderId="0" xfId="0" applyFont="1" applyAlignment="1" applyProtection="1">
      <alignment vertical="top"/>
      <protection locked="0"/>
    </xf>
    <xf numFmtId="0" fontId="44" fillId="0" borderId="0" xfId="0" applyFont="1" applyAlignment="1" applyProtection="1">
      <alignment horizontal="right" vertical="top" wrapText="1"/>
      <protection locked="0"/>
    </xf>
    <xf numFmtId="165" fontId="44" fillId="0" borderId="0" xfId="0" applyNumberFormat="1" applyFont="1" applyAlignment="1" applyProtection="1">
      <alignment vertical="top"/>
      <protection locked="0"/>
    </xf>
    <xf numFmtId="0" fontId="45" fillId="0" borderId="0" xfId="0" applyFont="1" applyAlignment="1" applyProtection="1">
      <alignment horizontal="left" vertical="top"/>
      <protection locked="0"/>
    </xf>
    <xf numFmtId="0" fontId="45" fillId="0" borderId="0" xfId="0" applyFont="1" applyAlignment="1" applyProtection="1">
      <alignment vertical="top" wrapText="1"/>
      <protection locked="0"/>
    </xf>
    <xf numFmtId="14" fontId="45" fillId="0" borderId="0" xfId="0" applyNumberFormat="1" applyFont="1" applyAlignment="1" applyProtection="1">
      <alignment vertical="top"/>
      <protection locked="0"/>
    </xf>
    <xf numFmtId="0" fontId="45" fillId="0" borderId="0" xfId="0" applyFont="1" applyAlignment="1" applyProtection="1">
      <alignment vertical="top"/>
      <protection locked="0"/>
    </xf>
    <xf numFmtId="0" fontId="46" fillId="0" borderId="0" xfId="0" applyFont="1" applyAlignment="1" applyProtection="1">
      <alignment horizontal="left" vertical="top"/>
      <protection locked="0"/>
    </xf>
    <xf numFmtId="14" fontId="46" fillId="0" borderId="0" xfId="0" applyNumberFormat="1" applyFont="1" applyAlignment="1" applyProtection="1">
      <alignment vertical="top"/>
      <protection locked="0"/>
    </xf>
    <xf numFmtId="0" fontId="46" fillId="0" borderId="0" xfId="0" applyFont="1" applyAlignment="1" applyProtection="1">
      <alignment vertical="top"/>
      <protection locked="0"/>
    </xf>
    <xf numFmtId="0" fontId="46" fillId="0" borderId="4" xfId="0" applyFont="1" applyBorder="1" applyAlignment="1" applyProtection="1">
      <alignment horizontal="left" vertical="top"/>
      <protection locked="0"/>
    </xf>
    <xf numFmtId="0" fontId="46" fillId="0" borderId="5" xfId="0" applyFont="1" applyBorder="1" applyAlignment="1" applyProtection="1">
      <alignment horizontal="left" vertical="top"/>
      <protection locked="0"/>
    </xf>
    <xf numFmtId="0" fontId="46" fillId="0" borderId="5" xfId="0" applyFont="1" applyBorder="1" applyAlignment="1" applyProtection="1">
      <alignment vertical="top" wrapText="1"/>
      <protection locked="0"/>
    </xf>
    <xf numFmtId="0" fontId="46" fillId="0" borderId="5" xfId="0" applyFont="1" applyBorder="1" applyAlignment="1" applyProtection="1">
      <alignment horizontal="right" vertical="top" wrapText="1"/>
      <protection locked="0"/>
    </xf>
    <xf numFmtId="0" fontId="46" fillId="0" borderId="5" xfId="0" applyFont="1" applyBorder="1" applyAlignment="1" applyProtection="1">
      <alignment vertical="top"/>
      <protection locked="0"/>
    </xf>
    <xf numFmtId="0" fontId="46" fillId="0" borderId="0" xfId="0" applyFont="1" applyAlignment="1" applyProtection="1">
      <alignment vertical="top" wrapText="1"/>
      <protection locked="0"/>
    </xf>
    <xf numFmtId="0" fontId="46" fillId="0" borderId="0" xfId="0" applyFont="1" applyAlignment="1" applyProtection="1">
      <alignment horizontal="right" vertical="top" wrapText="1"/>
      <protection locked="0"/>
    </xf>
    <xf numFmtId="0" fontId="47" fillId="0" borderId="5" xfId="0" applyFont="1" applyBorder="1" applyAlignment="1" applyProtection="1">
      <alignment horizontal="right" vertical="top" wrapText="1"/>
      <protection locked="0"/>
    </xf>
    <xf numFmtId="0" fontId="47" fillId="0" borderId="0" xfId="0" applyFont="1" applyAlignment="1" applyProtection="1">
      <alignment horizontal="left" vertical="top"/>
      <protection locked="0"/>
    </xf>
    <xf numFmtId="0" fontId="47" fillId="0" borderId="0" xfId="0" applyFont="1" applyAlignment="1" applyProtection="1">
      <alignment vertical="top" wrapText="1"/>
      <protection locked="0"/>
    </xf>
    <xf numFmtId="0" fontId="47" fillId="0" borderId="0" xfId="0" applyFont="1" applyAlignment="1" applyProtection="1">
      <alignment horizontal="right" vertical="top" wrapText="1"/>
      <protection locked="0"/>
    </xf>
    <xf numFmtId="14" fontId="47" fillId="0" borderId="0" xfId="0" applyNumberFormat="1" applyFont="1" applyAlignment="1" applyProtection="1">
      <alignment vertical="top"/>
      <protection locked="0"/>
    </xf>
    <xf numFmtId="0" fontId="48" fillId="0" borderId="0" xfId="0" applyFont="1" applyAlignment="1" applyProtection="1">
      <alignment horizontal="left" vertical="top"/>
      <protection locked="0"/>
    </xf>
    <xf numFmtId="0" fontId="48" fillId="0" borderId="0" xfId="0" applyFont="1" applyAlignment="1" applyProtection="1">
      <alignment vertical="top" wrapText="1"/>
      <protection locked="0"/>
    </xf>
    <xf numFmtId="0" fontId="48" fillId="0" borderId="0" xfId="0" applyFont="1" applyAlignment="1" applyProtection="1">
      <alignment horizontal="right" vertical="top" wrapText="1"/>
      <protection locked="0"/>
    </xf>
    <xf numFmtId="14" fontId="48" fillId="0" borderId="0" xfId="0" applyNumberFormat="1" applyFont="1" applyAlignment="1" applyProtection="1">
      <alignment vertical="top"/>
      <protection locked="0"/>
    </xf>
    <xf numFmtId="0" fontId="48" fillId="0" borderId="0" xfId="0" applyFont="1" applyAlignment="1" applyProtection="1">
      <alignment vertical="top"/>
      <protection locked="0"/>
    </xf>
    <xf numFmtId="0" fontId="48" fillId="0" borderId="5" xfId="0" applyFont="1" applyBorder="1" applyAlignment="1" applyProtection="1">
      <alignment horizontal="right" vertical="top" wrapText="1"/>
      <protection locked="0"/>
    </xf>
    <xf numFmtId="3" fontId="3" fillId="0" borderId="0" xfId="0" applyNumberFormat="1" applyFont="1" applyProtection="1">
      <protection locked="0"/>
    </xf>
    <xf numFmtId="3" fontId="4" fillId="0" borderId="0" xfId="0" applyNumberFormat="1" applyFont="1" applyProtection="1">
      <protection locked="0"/>
    </xf>
    <xf numFmtId="0" fontId="49" fillId="0" borderId="0" xfId="0" applyFont="1"/>
    <xf numFmtId="0" fontId="49" fillId="0" borderId="0" xfId="0" applyFont="1" applyAlignment="1">
      <alignment horizontal="right"/>
    </xf>
    <xf numFmtId="14" fontId="49" fillId="0" borderId="0" xfId="0" applyNumberFormat="1" applyFont="1" applyAlignment="1">
      <alignment horizontal="right"/>
    </xf>
    <xf numFmtId="14" fontId="50" fillId="0" borderId="0" xfId="0" applyNumberFormat="1" applyFont="1" applyAlignment="1">
      <alignment horizontal="right"/>
    </xf>
    <xf numFmtId="0" fontId="49" fillId="0" borderId="0" xfId="0" applyFont="1" applyAlignment="1">
      <alignment horizontal="center"/>
    </xf>
    <xf numFmtId="0" fontId="50" fillId="0" borderId="0" xfId="0" applyFont="1"/>
    <xf numFmtId="0" fontId="49" fillId="0" borderId="0" xfId="0" applyFont="1" applyAlignment="1">
      <alignment horizontal="left"/>
    </xf>
    <xf numFmtId="168" fontId="7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left"/>
    </xf>
    <xf numFmtId="14" fontId="2" fillId="3" borderId="0" xfId="0" applyNumberFormat="1" applyFont="1" applyFill="1" applyAlignment="1">
      <alignment horizontal="right"/>
    </xf>
    <xf numFmtId="14" fontId="2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22" fillId="3" borderId="0" xfId="0" applyFont="1" applyFill="1"/>
    <xf numFmtId="168" fontId="51" fillId="6" borderId="0" xfId="0" applyNumberFormat="1" applyFont="1" applyFill="1" applyAlignment="1" applyProtection="1">
      <alignment horizontal="right"/>
      <protection locked="0"/>
    </xf>
    <xf numFmtId="0" fontId="52" fillId="3" borderId="0" xfId="0" applyFont="1" applyFill="1"/>
    <xf numFmtId="0" fontId="53" fillId="0" borderId="0" xfId="0" applyFont="1" applyAlignment="1" applyProtection="1">
      <alignment horizontal="left" vertical="top"/>
      <protection locked="0"/>
    </xf>
    <xf numFmtId="0" fontId="53" fillId="0" borderId="0" xfId="0" applyFont="1" applyAlignment="1" applyProtection="1">
      <alignment vertical="top" wrapText="1"/>
      <protection locked="0"/>
    </xf>
    <xf numFmtId="14" fontId="53" fillId="0" borderId="0" xfId="0" applyNumberFormat="1" applyFont="1" applyAlignment="1" applyProtection="1">
      <alignment vertical="top"/>
      <protection locked="0"/>
    </xf>
    <xf numFmtId="0" fontId="53" fillId="0" borderId="0" xfId="0" applyFont="1" applyAlignment="1" applyProtection="1">
      <alignment vertical="top"/>
      <protection locked="0"/>
    </xf>
    <xf numFmtId="0" fontId="53" fillId="0" borderId="4" xfId="0" applyFont="1" applyBorder="1" applyAlignment="1" applyProtection="1">
      <alignment horizontal="left" vertical="top"/>
      <protection locked="0"/>
    </xf>
    <xf numFmtId="0" fontId="53" fillId="0" borderId="5" xfId="0" applyFont="1" applyBorder="1" applyAlignment="1" applyProtection="1">
      <alignment horizontal="left" vertical="top"/>
      <protection locked="0"/>
    </xf>
    <xf numFmtId="0" fontId="53" fillId="0" borderId="5" xfId="0" applyFont="1" applyBorder="1" applyAlignment="1" applyProtection="1">
      <alignment vertical="top" wrapText="1"/>
      <protection locked="0"/>
    </xf>
    <xf numFmtId="5" fontId="53" fillId="0" borderId="0" xfId="0" quotePrefix="1" applyNumberFormat="1" applyFont="1" applyAlignment="1" applyProtection="1">
      <alignment horizontal="center" vertical="top"/>
      <protection locked="0"/>
    </xf>
    <xf numFmtId="0" fontId="54" fillId="0" borderId="0" xfId="0" applyFont="1" applyAlignment="1" applyProtection="1">
      <alignment horizontal="left" vertical="top"/>
      <protection locked="0"/>
    </xf>
    <xf numFmtId="0" fontId="54" fillId="0" borderId="0" xfId="0" applyFont="1" applyAlignment="1" applyProtection="1">
      <alignment vertical="top" wrapText="1"/>
      <protection locked="0"/>
    </xf>
    <xf numFmtId="0" fontId="54" fillId="0" borderId="0" xfId="0" applyFont="1" applyAlignment="1" applyProtection="1">
      <alignment horizontal="right" vertical="top" wrapText="1"/>
      <protection locked="0"/>
    </xf>
    <xf numFmtId="14" fontId="54" fillId="0" borderId="0" xfId="0" applyNumberFormat="1" applyFont="1" applyAlignment="1" applyProtection="1">
      <alignment vertical="top"/>
      <protection locked="0"/>
    </xf>
    <xf numFmtId="0" fontId="55" fillId="0" borderId="0" xfId="0" applyFont="1" applyAlignment="1" applyProtection="1">
      <alignment horizontal="left" vertical="top"/>
      <protection locked="0"/>
    </xf>
    <xf numFmtId="0" fontId="55" fillId="0" borderId="0" xfId="0" applyFont="1" applyAlignment="1" applyProtection="1">
      <alignment vertical="top" wrapText="1"/>
      <protection locked="0"/>
    </xf>
    <xf numFmtId="14" fontId="55" fillId="0" borderId="0" xfId="0" applyNumberFormat="1" applyFont="1" applyAlignment="1" applyProtection="1">
      <alignment vertical="top"/>
      <protection locked="0"/>
    </xf>
    <xf numFmtId="0" fontId="55" fillId="0" borderId="0" xfId="0" applyFont="1" applyAlignment="1" applyProtection="1">
      <alignment vertical="top"/>
      <protection locked="0"/>
    </xf>
    <xf numFmtId="0" fontId="55" fillId="0" borderId="5" xfId="0" applyFont="1" applyBorder="1" applyAlignment="1" applyProtection="1">
      <alignment horizontal="left" vertical="top"/>
      <protection locked="0"/>
    </xf>
  </cellXfs>
  <cellStyles count="4">
    <cellStyle name="Comma" xfId="1" builtinId="3"/>
    <cellStyle name="Input" xfId="3" builtinId="20" customBuiltin="1"/>
    <cellStyle name="Normal" xfId="0" builtinId="0"/>
    <cellStyle name="Percent" xfId="2" builtinId="5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 style="thin">
          <color theme="7" tint="0.39997558519241921"/>
        </left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top style="thin">
          <color theme="7" tint="0.39997558519241921"/>
        </top>
      </border>
    </dxf>
    <dxf>
      <border outline="0">
        <left style="thin">
          <color theme="7" tint="0.39997558519241921"/>
        </left>
        <top style="thin">
          <color theme="7" tint="0.39997558519241921"/>
        </top>
        <bottom style="thin">
          <color theme="7" tint="0.39997558519241921"/>
        </bottom>
      </border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theme="7"/>
          <bgColor theme="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ptos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9" formatCode="#,##0\ &quot;kr.&quot;;\-#,##0\ &quot;kr.&quot;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9" formatCode="#,##0\ &quot;kr.&quot;;\-#,##0\ &quot;kr.&quot;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9" formatCode="#,##0\ &quot;kr.&quot;;\-#,##0\ &quot;kr.&quot;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9" formatCode="#,##0\ &quot;kr.&quot;;\-#,##0\ &quot;kr.&quot;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5" formatCode="0.0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[$-F400]h:mm:ss\ AM/PM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[$-F400]h:mm:ss\ AM/PM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"/>
        <family val="2"/>
        <scheme val="none"/>
      </font>
      <alignment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"/>
        <family val="2"/>
        <scheme val="none"/>
      </font>
      <numFmt numFmtId="0" formatCode="General"/>
      <alignment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vertical="top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righ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vertical="top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Black"/>
        <family val="2"/>
        <scheme val="none"/>
      </font>
      <fill>
        <patternFill patternType="solid">
          <fgColor indexed="64"/>
          <bgColor theme="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CC0000"/>
      <color rgb="FFFF3300"/>
      <color rgb="FFFD8D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theme" Target="theme/theme1.xml"/><Relationship Id="rId21" Type="http://schemas.openxmlformats.org/officeDocument/2006/relationships/customXml" Target="../customXml/item11.xml"/><Relationship Id="rId7" Type="http://schemas.openxmlformats.org/officeDocument/2006/relationships/sheetMetadata" Target="metadata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styles" Target="style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connections" Target="connections.xml"/><Relationship Id="rId9" Type="http://schemas.microsoft.com/office/2017/10/relationships/person" Target="persons/person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8AB52-AEDA-4A50-B359-8216E261ED70}" name="Table1" displayName="Table1" ref="A6:S438" totalsRowShown="0" headerRowDxfId="50" dataDxfId="49">
  <autoFilter ref="A6:S438" xr:uid="{9F48AB52-AEDA-4A50-B359-8216E261ED70}"/>
  <sortState xmlns:xlrd2="http://schemas.microsoft.com/office/spreadsheetml/2017/richdata2" ref="A367:S426">
    <sortCondition ref="F6:F426"/>
  </sortState>
  <tableColumns count="19">
    <tableColumn id="1" xr3:uid="{B0635704-7D21-48C0-A557-8E70A81B5961}" name="Client" dataDxfId="48"/>
    <tableColumn id="2" xr3:uid="{2E9DEDD5-93FB-425A-B5F7-FB3CBB4C96D7}" name="Project" dataDxfId="47"/>
    <tableColumn id="3" xr3:uid="{3FFFA363-9181-4EBE-847A-9ED734493A64}" name="Sub project" dataDxfId="46"/>
    <tableColumn id="17" xr3:uid="{43F64811-7A28-42AC-8DCA-84C64E936F91}" name="Budget ID" dataDxfId="45"/>
    <tableColumn id="4" xr3:uid="{10738DF4-FEC9-4F54-81E3-489C6CFF1D7E}" name="Activity" dataDxfId="44"/>
    <tableColumn id="6" xr3:uid="{59D8095D-20C1-4EC7-B3A2-12E952D5B659}" name="Date" dataDxfId="43"/>
    <tableColumn id="5" xr3:uid="{50D9D51B-2ED0-4317-9B61-CD47E84EDD92}" name="Week" dataDxfId="42">
      <calculatedColumnFormula>WEEKNUM($F7,21)</calculatedColumnFormula>
    </tableColumn>
    <tableColumn id="7" xr3:uid="{3CA37E22-EAE4-4374-B730-14C9ADB4F891}" name="Ressource_x000a_[Initials]" dataDxfId="41"/>
    <tableColumn id="16" xr3:uid="{AD5EDAC3-51E1-41EA-9742-2D22BB5C83EA}" name="MonthYear_x000a_[Helper]" dataDxfId="40">
      <calculatedColumnFormula>(MONTH(F7)&amp;"-"&amp;YEAR(F7))</calculatedColumnFormula>
    </tableColumn>
    <tableColumn id="18" xr3:uid="{04A8611D-DFFB-457A-A4AC-8D3A20980D8C}" name="YearWeek_x000a_[Helper]" dataDxfId="39">
      <calculatedColumnFormula>(YEAR(F7)&amp;TEXT(Table1[[#This Row],[Week]],"00"))</calculatedColumnFormula>
    </tableColumn>
    <tableColumn id="9" xr3:uid="{DD64E6CE-D363-4DA3-A58F-6E4E089747B0}" name="UID_x000a_[Helper]" dataDxfId="38">
      <calculatedColumnFormula>_xlfn.TEXTJOIN("-",TRUE,Table1[[#This Row],[Client]],Table1[[#This Row],[Budget ID]],Table1[[#This Row],[Ressource
'[Initials']]])</calculatedColumnFormula>
    </tableColumn>
    <tableColumn id="8" xr3:uid="{A124E552-04D0-4125-BBEA-5628DF356FEA}" name="Description of activity" dataDxfId="37"/>
    <tableColumn id="10" xr3:uid="{2029E518-D0D5-4D7F-9ACF-5BA1BEBC5F33}" name="Time start" dataDxfId="36"/>
    <tableColumn id="11" xr3:uid="{C324E418-4716-46F3-A081-5106F762F581}" name="Time end" dataDxfId="35"/>
    <tableColumn id="12" xr3:uid="{7EC493B9-4504-4450-A7EB-F6D7CCD240C8}" name="Hours" dataDxfId="34"/>
    <tableColumn id="13" xr3:uid="{80035A09-2D30-44BA-9A93-BB4FC7EF8F0C}" name="Rate" dataDxfId="33">
      <calculatedColumnFormula array="1">_xlfn.XLOOKUP(Table1[[#This Row],[UID
'[Helper']]],Table2[[#All],[UID
'[Helper']]],Table2[[#All],[Rate
DKK]],"Not found :(",0,1)</calculatedColumnFormula>
    </tableColumn>
    <tableColumn id="14" xr3:uid="{1822BCC4-F914-4DFF-AB31-A37B3FD3A0A2}" name="Total, DKK" dataDxfId="32">
      <calculatedColumnFormula>IFERROR(O7*P7,0)</calculatedColumnFormula>
    </tableColumn>
    <tableColumn id="15" xr3:uid="{D1380F9D-1176-4F8A-9EF0-C44DDB0D7345}" name="Driving?" dataDxfId="31"/>
    <tableColumn id="21" xr3:uid="{F1DDBB21-997C-4329-84B8-BE25296E7AE4}" name="Rapporteret" dataDxfId="3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B9595-E1C1-4601-8F45-D7C0E0DADF66}" name="Table2" displayName="Table2" ref="A4:L111" totalsRowShown="0" headerRowDxfId="29" dataDxfId="28">
  <autoFilter ref="A4:L111" xr:uid="{BA3B9595-E1C1-4601-8F45-D7C0E0DADF66}"/>
  <tableColumns count="12">
    <tableColumn id="1" xr3:uid="{533E6A8E-F44F-4AF0-8520-1FAB89694D70}" name="Client_x000a_[Name]" dataDxfId="27"/>
    <tableColumn id="2" xr3:uid="{8A3D2697-F25E-4A63-BEEE-480B00AB50C8}" name="Project_x000a_[Name]" dataDxfId="26"/>
    <tableColumn id="13" xr3:uid="{76468F48-EA29-4D3A-BC38-B773BAACA91E}" name="Project look-up name_x000a_[Active projects]" dataDxfId="25">
      <calculatedColumnFormula>IF(Table2[[#This Row],[Filter out of look-ups
'[Yes/No']]]="Yes","",Table2[[#This Row],[Project
'[Name']]])</calculatedColumnFormula>
    </tableColumn>
    <tableColumn id="11" xr3:uid="{73B878D9-7022-4CA5-8316-7847E0B80C6A}" name="Project ID_x000a_[Number]" dataDxfId="24"/>
    <tableColumn id="12" xr3:uid="{9304FC0E-3F3B-4ED3-8CB8-58557E92D1C9}" name="Budget ID_x000a_[BID]" dataDxfId="23"/>
    <tableColumn id="16" xr3:uid="{0C38B04C-F701-4C6B-8BAE-8241974E8577}" name="Budget Name" dataDxfId="22"/>
    <tableColumn id="14" xr3:uid="{2BB3663C-C1D4-4589-ABCE-3454F13A4DCE}" name="Valid from (date)" dataDxfId="21"/>
    <tableColumn id="15" xr3:uid="{CCBE838C-9CD5-47BC-BDD6-A44BEFA90FF0}" name="Valid from (Helper)" dataDxfId="20">
      <calculatedColumnFormula>IF(Table2[[#This Row],[Valid from (date)]]="","",(MONTH(G5)&amp;"-"&amp;YEAR(G5)))</calculatedColumnFormula>
    </tableColumn>
    <tableColumn id="10" xr3:uid="{49FEB11D-120D-430C-97E5-A69A0BB7E7D5}" name="Filter out of look-ups_x000a_[Yes/No]" dataDxfId="19"/>
    <tableColumn id="3" xr3:uid="{477A3A71-E254-4EF8-8983-48CACBF2186E}" name="Ressource_x000a_[Initials]" dataDxfId="18"/>
    <tableColumn id="6" xr3:uid="{4730632E-58CF-4EF2-9589-9FA07E7CD0FD}" name="UID_x000a_[Helper]" dataDxfId="17">
      <calculatedColumnFormula>_xlfn.TEXTJOIN("-",TRUE,Table2[[#This Row],[Client
'[Name']]],Table2[[#This Row],[Budget ID
'[BID']]],Table2[[#This Row],[Ressource
'[Initials']]])</calculatedColumnFormula>
    </tableColumn>
    <tableColumn id="4" xr3:uid="{2FEE7D2E-093A-45D9-BD03-21CDB5287E7C}" name="Rate_x000a_DKK" dataDxfId="16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304E90-C023-4B19-A621-A8560120C47C}" name="Table3" displayName="Table3" ref="N4:R9" totalsRowShown="0" headerRowDxfId="15" dataDxfId="14">
  <autoFilter ref="N4:R9" xr:uid="{DF304E90-C023-4B19-A621-A8560120C47C}"/>
  <tableColumns count="5">
    <tableColumn id="1" xr3:uid="{18AB638B-3221-4A42-80B0-87B9EE9BFDE1}" name="Name_x000a_[Initials]" dataDxfId="13"/>
    <tableColumn id="2" xr3:uid="{CB5E43CD-1826-410C-BF05-5708CFDBCE0C}" name="Monthly hours_x000a_[No hours]" dataDxfId="12"/>
    <tableColumn id="5" xr3:uid="{5E908115-A81D-4054-A7D3-B49A593632E7}" name="Daily hours_x000a_[No hours]" dataDxfId="11"/>
    <tableColumn id="3" xr3:uid="{F7F00BD8-769D-4FFE-9F51-1183B65B9C1F}" name="Target load_x000a_pr. week [%]" dataDxfId="10"/>
    <tableColumn id="4" xr3:uid="{445F8C52-87F7-4585-8E31-72735B811215}" name="Target load_x000a_pr. month [hours]" dataDxfId="9">
      <calculatedColumnFormula>O5*Q5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3A9898-ACC5-445F-AA3C-FE10EA9BBA21}" name="Table4" displayName="Table4" ref="T4:T16" totalsRowShown="0" headerRowDxfId="8" dataDxfId="7">
  <autoFilter ref="T4:T16" xr:uid="{6A3A9898-ACC5-445F-AA3C-FE10EA9BBA21}"/>
  <tableColumns count="1">
    <tableColumn id="1" xr3:uid="{DC3F10BD-4EF8-4586-84FE-E26425F8E6FE}" name="Activities" dataDxfId="6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DDA44B-8456-4BD7-B47B-78A946D73A1F}" name="Table11" displayName="Table11" ref="V4:W16" totalsRowShown="0" headerRowDxfId="5" headerRowBorderDxfId="4" tableBorderDxfId="3" totalsRowBorderDxfId="2">
  <autoFilter ref="V4:W16" xr:uid="{CADDA44B-8456-4BD7-B47B-78A946D73A1F}"/>
  <tableColumns count="2">
    <tableColumn id="1" xr3:uid="{DED78830-B76D-4546-88C9-0300A1C61C63}" name="Month name" dataDxfId="1"/>
    <tableColumn id="2" xr3:uid="{703A9F9A-B079-4656-8CE1-BBA0A664B9B2}" name="Month No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864D-FCBF-42F7-A541-AD6E03684BD0}">
  <sheetPr>
    <tabColor rgb="FFFFC000"/>
    <pageSetUpPr fitToPage="1"/>
  </sheetPr>
  <dimension ref="A1:X438"/>
  <sheetViews>
    <sheetView showGridLines="0" tabSelected="1" zoomScale="83" zoomScaleNormal="90" zoomScalePageLayoutView="71" workbookViewId="0">
      <pane ySplit="6" topLeftCell="A7" activePane="bottomLeft" state="frozen"/>
      <selection pane="bottomLeft" activeCell="B8" sqref="B8"/>
    </sheetView>
  </sheetViews>
  <sheetFormatPr defaultColWidth="8.5703125" defaultRowHeight="15"/>
  <cols>
    <col min="1" max="1" width="33.5703125" style="96" bestFit="1" customWidth="1"/>
    <col min="2" max="2" width="19" style="96" bestFit="1" customWidth="1"/>
    <col min="3" max="3" width="24.85546875" style="96" bestFit="1" customWidth="1"/>
    <col min="4" max="4" width="10.42578125" style="122" bestFit="1" customWidth="1"/>
    <col min="5" max="5" width="17.42578125" style="96" bestFit="1" customWidth="1"/>
    <col min="6" max="6" width="10.42578125" style="123" bestFit="1" customWidth="1"/>
    <col min="7" max="7" width="9.140625" style="96" bestFit="1" customWidth="1"/>
    <col min="8" max="8" width="13.85546875" style="96" bestFit="1" customWidth="1"/>
    <col min="9" max="9" width="14.140625" style="85" customWidth="1"/>
    <col min="10" max="10" width="13.5703125" style="85" customWidth="1"/>
    <col min="11" max="11" width="29.5703125" style="85" customWidth="1"/>
    <col min="12" max="12" width="80" style="96" customWidth="1"/>
    <col min="13" max="13" width="13.42578125" style="96" hidden="1" customWidth="1"/>
    <col min="14" max="14" width="12.42578125" style="96" hidden="1" customWidth="1"/>
    <col min="15" max="15" width="10.85546875" style="96" customWidth="1"/>
    <col min="16" max="16" width="10" style="96" bestFit="1" customWidth="1"/>
    <col min="17" max="17" width="17.42578125" style="96" customWidth="1"/>
    <col min="18" max="18" width="13.5703125" style="96" customWidth="1"/>
    <col min="19" max="19" width="14.5703125" style="124" customWidth="1"/>
    <col min="20" max="20" width="11.5703125" style="96" customWidth="1"/>
    <col min="21" max="21" width="10.42578125" style="96" bestFit="1" customWidth="1"/>
    <col min="22" max="16384" width="8.5703125" style="96"/>
  </cols>
  <sheetData>
    <row r="1" spans="1:24" ht="18.75">
      <c r="A1" s="87" t="s">
        <v>18</v>
      </c>
      <c r="B1" s="88"/>
      <c r="C1" s="88"/>
      <c r="D1" s="89"/>
      <c r="E1" s="88"/>
      <c r="F1" s="90"/>
      <c r="G1" s="90"/>
      <c r="H1" s="88"/>
      <c r="I1" s="80"/>
      <c r="J1" s="80"/>
      <c r="K1" s="1"/>
      <c r="L1" s="91"/>
      <c r="M1" s="92"/>
      <c r="N1" s="92"/>
      <c r="O1" s="93"/>
      <c r="P1" s="88"/>
      <c r="Q1" s="94"/>
      <c r="R1" s="94"/>
      <c r="S1" s="95"/>
    </row>
    <row r="2" spans="1:24" ht="13.5">
      <c r="A2" s="88" t="s">
        <v>136</v>
      </c>
      <c r="B2" s="97" t="s">
        <v>216</v>
      </c>
      <c r="C2" s="125"/>
      <c r="D2" s="89"/>
      <c r="E2" s="88"/>
      <c r="F2" s="90"/>
      <c r="G2" s="90"/>
      <c r="H2" s="88"/>
      <c r="I2" s="80"/>
      <c r="J2" s="80"/>
      <c r="K2" s="1"/>
      <c r="L2" s="91"/>
      <c r="M2" s="92"/>
      <c r="N2" s="92"/>
      <c r="O2" s="93"/>
      <c r="P2" s="88"/>
      <c r="Q2" s="88"/>
      <c r="R2" s="88"/>
      <c r="S2" s="95"/>
      <c r="U2" s="98" t="s">
        <v>101</v>
      </c>
      <c r="X2" s="165"/>
    </row>
    <row r="3" spans="1:24" ht="13.5">
      <c r="A3" s="99" t="s">
        <v>49</v>
      </c>
      <c r="B3" s="90"/>
      <c r="C3" s="88"/>
      <c r="D3" s="89"/>
      <c r="E3" s="88"/>
      <c r="F3" s="90"/>
      <c r="G3" s="90"/>
      <c r="H3" s="88"/>
      <c r="I3" s="80"/>
      <c r="J3" s="80"/>
      <c r="K3" s="1"/>
      <c r="L3" s="91"/>
      <c r="M3" s="92"/>
      <c r="N3" s="92"/>
      <c r="O3" s="93"/>
      <c r="P3" s="88"/>
      <c r="Q3" s="88"/>
      <c r="R3" s="88"/>
      <c r="S3" s="95"/>
      <c r="X3" s="165"/>
    </row>
    <row r="4" spans="1:24" ht="13.5">
      <c r="A4" s="100" t="s">
        <v>1</v>
      </c>
      <c r="B4" s="100" t="s">
        <v>1</v>
      </c>
      <c r="C4" s="100" t="s">
        <v>34</v>
      </c>
      <c r="D4" s="100" t="s">
        <v>34</v>
      </c>
      <c r="E4" s="100" t="s">
        <v>1</v>
      </c>
      <c r="F4" s="100" t="s">
        <v>34</v>
      </c>
      <c r="G4" s="101" t="s">
        <v>25</v>
      </c>
      <c r="H4" s="100" t="s">
        <v>1</v>
      </c>
      <c r="I4" s="81"/>
      <c r="J4" s="81"/>
      <c r="K4" s="82"/>
      <c r="L4" s="102" t="s">
        <v>8</v>
      </c>
      <c r="M4" s="100" t="s">
        <v>26</v>
      </c>
      <c r="N4" s="100" t="s">
        <v>26</v>
      </c>
      <c r="O4" s="100" t="s">
        <v>8</v>
      </c>
      <c r="P4" s="101" t="s">
        <v>25</v>
      </c>
      <c r="Q4" s="103" t="s">
        <v>9</v>
      </c>
      <c r="R4" s="102" t="s">
        <v>8</v>
      </c>
      <c r="S4" s="102" t="s">
        <v>8</v>
      </c>
      <c r="U4" s="102" t="s">
        <v>100</v>
      </c>
      <c r="X4" s="166"/>
    </row>
    <row r="5" spans="1:24" s="110" customFormat="1">
      <c r="A5" s="104" t="s">
        <v>50</v>
      </c>
      <c r="B5" s="105"/>
      <c r="C5" s="105"/>
      <c r="D5" s="105"/>
      <c r="E5" s="105"/>
      <c r="F5" s="105"/>
      <c r="G5" s="105"/>
      <c r="H5" s="105"/>
      <c r="I5" s="83"/>
      <c r="J5" s="83"/>
      <c r="K5" s="12"/>
      <c r="L5" s="106"/>
      <c r="M5" s="105"/>
      <c r="N5" s="105"/>
      <c r="O5" s="180">
        <f>_xlfn.AGGREGATE(9,3,Table1[Hours])</f>
        <v>1048.5</v>
      </c>
      <c r="P5" s="105"/>
      <c r="Q5" s="107">
        <f>_xlfn.AGGREGATE(9,3,Table1[Total, DKK])</f>
        <v>921525</v>
      </c>
      <c r="R5" s="108"/>
      <c r="S5" s="108"/>
      <c r="T5" s="96"/>
      <c r="U5" s="109">
        <f>Q5/O5</f>
        <v>878.89842632331897</v>
      </c>
    </row>
    <row r="6" spans="1:24" ht="30" customHeight="1">
      <c r="A6" s="111" t="s">
        <v>2</v>
      </c>
      <c r="B6" s="4" t="s">
        <v>3</v>
      </c>
      <c r="C6" s="111" t="s">
        <v>4</v>
      </c>
      <c r="D6" s="111" t="s">
        <v>124</v>
      </c>
      <c r="E6" s="4" t="s">
        <v>5</v>
      </c>
      <c r="F6" s="4" t="s">
        <v>7</v>
      </c>
      <c r="G6" s="4" t="s">
        <v>6</v>
      </c>
      <c r="H6" s="111" t="s">
        <v>21</v>
      </c>
      <c r="I6" s="84" t="s">
        <v>104</v>
      </c>
      <c r="J6" s="84" t="s">
        <v>215</v>
      </c>
      <c r="K6" s="84" t="s">
        <v>98</v>
      </c>
      <c r="L6" s="111" t="s">
        <v>10</v>
      </c>
      <c r="M6" s="112" t="s">
        <v>11</v>
      </c>
      <c r="N6" s="112" t="s">
        <v>12</v>
      </c>
      <c r="O6" s="4" t="s">
        <v>0</v>
      </c>
      <c r="P6" s="4" t="s">
        <v>13</v>
      </c>
      <c r="Q6" s="4" t="s">
        <v>15</v>
      </c>
      <c r="R6" s="113" t="s">
        <v>99</v>
      </c>
      <c r="S6" s="113" t="s">
        <v>47</v>
      </c>
    </row>
    <row r="7" spans="1:24" s="116" customFormat="1" ht="27">
      <c r="A7" s="18" t="s">
        <v>14</v>
      </c>
      <c r="B7" s="18" t="s">
        <v>24</v>
      </c>
      <c r="C7" s="19" t="s">
        <v>66</v>
      </c>
      <c r="D7" s="49">
        <v>230003</v>
      </c>
      <c r="E7" s="18" t="s">
        <v>37</v>
      </c>
      <c r="F7" s="20">
        <v>45352</v>
      </c>
      <c r="G7" s="21">
        <f t="shared" ref="G7:G35" si="0">WEEKNUM($F7,21)</f>
        <v>9</v>
      </c>
      <c r="H7" s="21" t="s">
        <v>22</v>
      </c>
      <c r="I7" s="79" t="str">
        <f t="shared" ref="I7:I35" si="1">(MONTH(F7)&amp;"-"&amp;YEAR(F7))</f>
        <v>3-2024</v>
      </c>
      <c r="J7" s="86" t="str">
        <f>(YEAR(F7)&amp;TEXT(Table1[[#This Row],[Week]],"00"))</f>
        <v>202409</v>
      </c>
      <c r="K7" s="79" t="str">
        <f>_xlfn.TEXTJOIN("-",TRUE,Table1[[#This Row],[Client]],Table1[[#This Row],[Budget ID]],Table1[[#This Row],[Ressource
'[Initials']]])</f>
        <v>Labflex-230003-MS</v>
      </c>
      <c r="L7" s="19" t="s">
        <v>67</v>
      </c>
      <c r="M7" s="22"/>
      <c r="N7" s="22"/>
      <c r="O7" s="23">
        <v>1</v>
      </c>
      <c r="P7" s="117" cm="1">
        <f t="array" ref="P7">_xlfn.XLOOKUP(Table1[[#This Row],[UID
'[Helper']]],Table2[[#All],[UID
'[Helper']]],Table2[[#All],[Rate
DKK]],"Not found :(",0,1)</f>
        <v>825</v>
      </c>
      <c r="Q7" s="117">
        <f t="shared" ref="Q7:Q35" si="2">IFERROR(O7*P7,0)</f>
        <v>825</v>
      </c>
      <c r="R7" s="118"/>
      <c r="S7" s="118"/>
    </row>
    <row r="8" spans="1:24" s="116" customFormat="1" ht="13.5">
      <c r="A8" s="18" t="s">
        <v>14</v>
      </c>
      <c r="B8" s="18" t="s">
        <v>24</v>
      </c>
      <c r="C8" s="19" t="s">
        <v>68</v>
      </c>
      <c r="D8" s="49">
        <v>230003</v>
      </c>
      <c r="E8" s="18" t="s">
        <v>37</v>
      </c>
      <c r="F8" s="20">
        <v>45352</v>
      </c>
      <c r="G8" s="21">
        <f t="shared" si="0"/>
        <v>9</v>
      </c>
      <c r="H8" s="21" t="s">
        <v>22</v>
      </c>
      <c r="I8" s="79" t="str">
        <f t="shared" si="1"/>
        <v>3-2024</v>
      </c>
      <c r="J8" s="86" t="str">
        <f>(YEAR(F8)&amp;TEXT(Table1[[#This Row],[Week]],"00"))</f>
        <v>202409</v>
      </c>
      <c r="K8" s="79" t="str">
        <f>_xlfn.TEXTJOIN("-",TRUE,Table1[[#This Row],[Client]],Table1[[#This Row],[Budget ID]],Table1[[#This Row],[Ressource
'[Initials']]])</f>
        <v>Labflex-230003-MS</v>
      </c>
      <c r="L8" s="19" t="s">
        <v>77</v>
      </c>
      <c r="M8" s="22"/>
      <c r="N8" s="22"/>
      <c r="O8" s="23">
        <v>0.5</v>
      </c>
      <c r="P8" s="117" cm="1">
        <f t="array" ref="P8">_xlfn.XLOOKUP(Table1[[#This Row],[UID
'[Helper']]],Table2[[#All],[UID
'[Helper']]],Table2[[#All],[Rate
DKK]],"Not found :(",0,1)</f>
        <v>825</v>
      </c>
      <c r="Q8" s="117">
        <f t="shared" si="2"/>
        <v>412.5</v>
      </c>
      <c r="R8" s="118"/>
      <c r="S8" s="118"/>
    </row>
    <row r="9" spans="1:24" s="116" customFormat="1" ht="13.5">
      <c r="A9" s="18" t="s">
        <v>14</v>
      </c>
      <c r="B9" s="18" t="s">
        <v>24</v>
      </c>
      <c r="C9" s="19" t="s">
        <v>69</v>
      </c>
      <c r="D9" s="49">
        <v>230003</v>
      </c>
      <c r="E9" s="18" t="s">
        <v>37</v>
      </c>
      <c r="F9" s="20">
        <v>45352</v>
      </c>
      <c r="G9" s="21">
        <f t="shared" si="0"/>
        <v>9</v>
      </c>
      <c r="H9" s="21" t="s">
        <v>22</v>
      </c>
      <c r="I9" s="79" t="str">
        <f t="shared" si="1"/>
        <v>3-2024</v>
      </c>
      <c r="J9" s="86" t="str">
        <f>(YEAR(F9)&amp;TEXT(Table1[[#This Row],[Week]],"00"))</f>
        <v>202409</v>
      </c>
      <c r="K9" s="79" t="str">
        <f>_xlfn.TEXTJOIN("-",TRUE,Table1[[#This Row],[Client]],Table1[[#This Row],[Budget ID]],Table1[[#This Row],[Ressource
'[Initials']]])</f>
        <v>Labflex-230003-MS</v>
      </c>
      <c r="L9" s="19" t="s">
        <v>76</v>
      </c>
      <c r="M9" s="22"/>
      <c r="N9" s="22"/>
      <c r="O9" s="23">
        <v>0.5</v>
      </c>
      <c r="P9" s="117" cm="1">
        <f t="array" ref="P9">_xlfn.XLOOKUP(Table1[[#This Row],[UID
'[Helper']]],Table2[[#All],[UID
'[Helper']]],Table2[[#All],[Rate
DKK]],"Not found :(",0,1)</f>
        <v>825</v>
      </c>
      <c r="Q9" s="117">
        <f t="shared" si="2"/>
        <v>412.5</v>
      </c>
      <c r="R9" s="118"/>
      <c r="S9" s="118"/>
    </row>
    <row r="10" spans="1:24" s="116" customFormat="1" ht="27">
      <c r="A10" s="18" t="s">
        <v>14</v>
      </c>
      <c r="B10" s="18" t="s">
        <v>24</v>
      </c>
      <c r="C10" s="19" t="s">
        <v>70</v>
      </c>
      <c r="D10" s="49">
        <v>230003</v>
      </c>
      <c r="E10" s="18" t="s">
        <v>37</v>
      </c>
      <c r="F10" s="20">
        <v>45352</v>
      </c>
      <c r="G10" s="21">
        <f t="shared" si="0"/>
        <v>9</v>
      </c>
      <c r="H10" s="21" t="s">
        <v>22</v>
      </c>
      <c r="I10" s="79" t="str">
        <f t="shared" si="1"/>
        <v>3-2024</v>
      </c>
      <c r="J10" s="86" t="str">
        <f>(YEAR(F10)&amp;TEXT(Table1[[#This Row],[Week]],"00"))</f>
        <v>202409</v>
      </c>
      <c r="K10" s="79" t="str">
        <f>_xlfn.TEXTJOIN("-",TRUE,Table1[[#This Row],[Client]],Table1[[#This Row],[Budget ID]],Table1[[#This Row],[Ressource
'[Initials']]])</f>
        <v>Labflex-230003-MS</v>
      </c>
      <c r="L10" s="19" t="s">
        <v>75</v>
      </c>
      <c r="M10" s="22"/>
      <c r="N10" s="22"/>
      <c r="O10" s="23">
        <v>1</v>
      </c>
      <c r="P10" s="117" cm="1">
        <f t="array" ref="P10">_xlfn.XLOOKUP(Table1[[#This Row],[UID
'[Helper']]],Table2[[#All],[UID
'[Helper']]],Table2[[#All],[Rate
DKK]],"Not found :(",0,1)</f>
        <v>825</v>
      </c>
      <c r="Q10" s="117">
        <f t="shared" si="2"/>
        <v>825</v>
      </c>
      <c r="R10" s="118"/>
      <c r="S10" s="118"/>
    </row>
    <row r="11" spans="1:24" s="116" customFormat="1" ht="13.5">
      <c r="A11" s="18" t="s">
        <v>14</v>
      </c>
      <c r="B11" s="18" t="s">
        <v>24</v>
      </c>
      <c r="C11" s="19" t="s">
        <v>71</v>
      </c>
      <c r="D11" s="49">
        <v>230003</v>
      </c>
      <c r="E11" s="18" t="s">
        <v>73</v>
      </c>
      <c r="F11" s="20">
        <v>45352</v>
      </c>
      <c r="G11" s="21">
        <f t="shared" si="0"/>
        <v>9</v>
      </c>
      <c r="H11" s="21" t="s">
        <v>22</v>
      </c>
      <c r="I11" s="79" t="str">
        <f t="shared" si="1"/>
        <v>3-2024</v>
      </c>
      <c r="J11" s="86" t="str">
        <f>(YEAR(F11)&amp;TEXT(Table1[[#This Row],[Week]],"00"))</f>
        <v>202409</v>
      </c>
      <c r="K11" s="79" t="str">
        <f>_xlfn.TEXTJOIN("-",TRUE,Table1[[#This Row],[Client]],Table1[[#This Row],[Budget ID]],Table1[[#This Row],[Ressource
'[Initials']]])</f>
        <v>Labflex-230003-MS</v>
      </c>
      <c r="L11" s="19" t="s">
        <v>74</v>
      </c>
      <c r="M11" s="22"/>
      <c r="N11" s="22"/>
      <c r="O11" s="23">
        <v>0.5</v>
      </c>
      <c r="P11" s="117" cm="1">
        <f t="array" ref="P11">_xlfn.XLOOKUP(Table1[[#This Row],[UID
'[Helper']]],Table2[[#All],[UID
'[Helper']]],Table2[[#All],[Rate
DKK]],"Not found :(",0,1)</f>
        <v>825</v>
      </c>
      <c r="Q11" s="117">
        <f t="shared" si="2"/>
        <v>412.5</v>
      </c>
      <c r="R11" s="118"/>
      <c r="S11" s="118"/>
    </row>
    <row r="12" spans="1:24" s="116" customFormat="1" ht="13.5">
      <c r="A12" s="18" t="s">
        <v>14</v>
      </c>
      <c r="B12" s="18" t="s">
        <v>24</v>
      </c>
      <c r="C12" s="19" t="s">
        <v>72</v>
      </c>
      <c r="D12" s="49">
        <v>230003</v>
      </c>
      <c r="E12" s="18" t="s">
        <v>73</v>
      </c>
      <c r="F12" s="20">
        <v>45352</v>
      </c>
      <c r="G12" s="21">
        <f t="shared" si="0"/>
        <v>9</v>
      </c>
      <c r="H12" s="21" t="s">
        <v>22</v>
      </c>
      <c r="I12" s="79" t="str">
        <f t="shared" si="1"/>
        <v>3-2024</v>
      </c>
      <c r="J12" s="86" t="str">
        <f>(YEAR(F12)&amp;TEXT(Table1[[#This Row],[Week]],"00"))</f>
        <v>202409</v>
      </c>
      <c r="K12" s="79" t="str">
        <f>_xlfn.TEXTJOIN("-",TRUE,Table1[[#This Row],[Client]],Table1[[#This Row],[Budget ID]],Table1[[#This Row],[Ressource
'[Initials']]])</f>
        <v>Labflex-230003-MS</v>
      </c>
      <c r="L12" s="19" t="s">
        <v>74</v>
      </c>
      <c r="M12" s="22"/>
      <c r="N12" s="22"/>
      <c r="O12" s="23">
        <v>0.5</v>
      </c>
      <c r="P12" s="117" cm="1">
        <f t="array" ref="P12">_xlfn.XLOOKUP(Table1[[#This Row],[UID
'[Helper']]],Table2[[#All],[UID
'[Helper']]],Table2[[#All],[Rate
DKK]],"Not found :(",0,1)</f>
        <v>825</v>
      </c>
      <c r="Q12" s="117">
        <f t="shared" si="2"/>
        <v>412.5</v>
      </c>
      <c r="R12" s="118"/>
      <c r="S12" s="118"/>
    </row>
    <row r="13" spans="1:24" s="116" customFormat="1" ht="27">
      <c r="A13" s="18" t="s">
        <v>92</v>
      </c>
      <c r="B13" s="18" t="s">
        <v>93</v>
      </c>
      <c r="C13" s="19" t="s">
        <v>43</v>
      </c>
      <c r="D13" s="49" t="s">
        <v>135</v>
      </c>
      <c r="E13" s="18" t="s">
        <v>46</v>
      </c>
      <c r="F13" s="20">
        <v>45353</v>
      </c>
      <c r="G13" s="21">
        <f t="shared" si="0"/>
        <v>9</v>
      </c>
      <c r="H13" s="21" t="s">
        <v>20</v>
      </c>
      <c r="I13" s="79" t="str">
        <f t="shared" si="1"/>
        <v>3-2024</v>
      </c>
      <c r="J13" s="86" t="str">
        <f>(YEAR(F13)&amp;TEXT(Table1[[#This Row],[Week]],"00"))</f>
        <v>202409</v>
      </c>
      <c r="K13" s="79" t="str">
        <f>_xlfn.TEXTJOIN("-",TRUE,Table1[[#This Row],[Client]],Table1[[#This Row],[Budget ID]],Table1[[#This Row],[Ressource
'[Initials']]])</f>
        <v>Novo Nordisk-230002-1-DS</v>
      </c>
      <c r="L13" s="19" t="s">
        <v>51</v>
      </c>
      <c r="M13" s="22"/>
      <c r="N13" s="22"/>
      <c r="O13" s="23">
        <v>4</v>
      </c>
      <c r="P13" s="114" cm="1">
        <f t="array" ref="P13">_xlfn.XLOOKUP(Table1[[#This Row],[UID
'[Helper']]],Table2[[#All],[UID
'[Helper']]],Table2[[#All],[Rate
DKK]],"Not found :(",0,1)</f>
        <v>900</v>
      </c>
      <c r="Q13" s="114">
        <f t="shared" si="2"/>
        <v>3600</v>
      </c>
      <c r="R13" s="115"/>
      <c r="S13" s="115"/>
    </row>
    <row r="14" spans="1:24" s="116" customFormat="1" ht="13.5">
      <c r="A14" s="18" t="s">
        <v>92</v>
      </c>
      <c r="B14" s="18" t="s">
        <v>93</v>
      </c>
      <c r="C14" s="19" t="s">
        <v>43</v>
      </c>
      <c r="D14" s="49" t="s">
        <v>135</v>
      </c>
      <c r="E14" s="18" t="s">
        <v>46</v>
      </c>
      <c r="F14" s="20">
        <v>45355</v>
      </c>
      <c r="G14" s="21">
        <f t="shared" si="0"/>
        <v>10</v>
      </c>
      <c r="H14" s="21" t="s">
        <v>20</v>
      </c>
      <c r="I14" s="79" t="str">
        <f t="shared" si="1"/>
        <v>3-2024</v>
      </c>
      <c r="J14" s="86" t="str">
        <f>(YEAR(F14)&amp;TEXT(Table1[[#This Row],[Week]],"00"))</f>
        <v>202410</v>
      </c>
      <c r="K14" s="79" t="str">
        <f>_xlfn.TEXTJOIN("-",TRUE,Table1[[#This Row],[Client]],Table1[[#This Row],[Budget ID]],Table1[[#This Row],[Ressource
'[Initials']]])</f>
        <v>Novo Nordisk-230002-1-DS</v>
      </c>
      <c r="L14" s="19" t="s">
        <v>61</v>
      </c>
      <c r="M14" s="22"/>
      <c r="N14" s="22"/>
      <c r="O14" s="23">
        <v>8</v>
      </c>
      <c r="P14" s="114" cm="1">
        <f t="array" ref="P14">_xlfn.XLOOKUP(Table1[[#This Row],[UID
'[Helper']]],Table2[[#All],[UID
'[Helper']]],Table2[[#All],[Rate
DKK]],"Not found :(",0,1)</f>
        <v>900</v>
      </c>
      <c r="Q14" s="114">
        <f t="shared" si="2"/>
        <v>7200</v>
      </c>
      <c r="R14" s="115"/>
      <c r="S14" s="115"/>
    </row>
    <row r="15" spans="1:24" s="116" customFormat="1" ht="13.5">
      <c r="A15" s="18" t="s">
        <v>92</v>
      </c>
      <c r="B15" s="18" t="s">
        <v>93</v>
      </c>
      <c r="C15" s="19" t="s">
        <v>43</v>
      </c>
      <c r="D15" s="49" t="s">
        <v>135</v>
      </c>
      <c r="E15" s="18" t="s">
        <v>46</v>
      </c>
      <c r="F15" s="20">
        <v>45355</v>
      </c>
      <c r="G15" s="21">
        <f t="shared" si="0"/>
        <v>10</v>
      </c>
      <c r="H15" s="21" t="s">
        <v>22</v>
      </c>
      <c r="I15" s="79" t="str">
        <f t="shared" si="1"/>
        <v>3-2024</v>
      </c>
      <c r="J15" s="86" t="str">
        <f>(YEAR(F15)&amp;TEXT(Table1[[#This Row],[Week]],"00"))</f>
        <v>202410</v>
      </c>
      <c r="K15" s="79" t="str">
        <f>_xlfn.TEXTJOIN("-",TRUE,Table1[[#This Row],[Client]],Table1[[#This Row],[Budget ID]],Table1[[#This Row],[Ressource
'[Initials']]])</f>
        <v>Novo Nordisk-230002-1-MS</v>
      </c>
      <c r="L15" s="19" t="s">
        <v>55</v>
      </c>
      <c r="M15" s="22"/>
      <c r="N15" s="22"/>
      <c r="O15" s="23">
        <v>6</v>
      </c>
      <c r="P15" s="114" cm="1">
        <f t="array" ref="P15">_xlfn.XLOOKUP(Table1[[#This Row],[UID
'[Helper']]],Table2[[#All],[UID
'[Helper']]],Table2[[#All],[Rate
DKK]],"Not found :(",0,1)</f>
        <v>900</v>
      </c>
      <c r="Q15" s="114">
        <f t="shared" si="2"/>
        <v>5400</v>
      </c>
      <c r="R15" s="115"/>
      <c r="S15" s="115"/>
    </row>
    <row r="16" spans="1:24" s="116" customFormat="1" ht="13.5">
      <c r="A16" s="18" t="s">
        <v>92</v>
      </c>
      <c r="B16" s="18" t="s">
        <v>93</v>
      </c>
      <c r="C16" s="19" t="s">
        <v>43</v>
      </c>
      <c r="D16" s="49" t="s">
        <v>135</v>
      </c>
      <c r="E16" s="18" t="s">
        <v>46</v>
      </c>
      <c r="F16" s="20">
        <v>45355</v>
      </c>
      <c r="G16" s="21">
        <f t="shared" si="0"/>
        <v>10</v>
      </c>
      <c r="H16" s="21" t="s">
        <v>54</v>
      </c>
      <c r="I16" s="79" t="str">
        <f t="shared" si="1"/>
        <v>3-2024</v>
      </c>
      <c r="J16" s="86" t="str">
        <f>(YEAR(F16)&amp;TEXT(Table1[[#This Row],[Week]],"00"))</f>
        <v>202410</v>
      </c>
      <c r="K16" s="79" t="str">
        <f>_xlfn.TEXTJOIN("-",TRUE,Table1[[#This Row],[Client]],Table1[[#This Row],[Budget ID]],Table1[[#This Row],[Ressource
'[Initials']]])</f>
        <v>Novo Nordisk-230002-1-ML</v>
      </c>
      <c r="L16" s="19" t="s">
        <v>60</v>
      </c>
      <c r="M16" s="22"/>
      <c r="N16" s="22"/>
      <c r="O16" s="23">
        <v>6</v>
      </c>
      <c r="P16" s="114" cm="1">
        <f t="array" ref="P16">_xlfn.XLOOKUP(Table1[[#This Row],[UID
'[Helper']]],Table2[[#All],[UID
'[Helper']]],Table2[[#All],[Rate
DKK]],"Not found :(",0,1)</f>
        <v>900</v>
      </c>
      <c r="Q16" s="114">
        <f t="shared" si="2"/>
        <v>5400</v>
      </c>
      <c r="R16" s="115"/>
      <c r="S16" s="115"/>
    </row>
    <row r="17" spans="1:19" s="116" customFormat="1" ht="27">
      <c r="A17" s="18" t="s">
        <v>52</v>
      </c>
      <c r="B17" s="18" t="s">
        <v>58</v>
      </c>
      <c r="C17" s="19" t="s">
        <v>65</v>
      </c>
      <c r="D17" s="49">
        <v>240001</v>
      </c>
      <c r="E17" s="18" t="s">
        <v>37</v>
      </c>
      <c r="F17" s="20">
        <v>45355</v>
      </c>
      <c r="G17" s="21">
        <f t="shared" si="0"/>
        <v>10</v>
      </c>
      <c r="H17" s="21" t="s">
        <v>22</v>
      </c>
      <c r="I17" s="79" t="str">
        <f t="shared" si="1"/>
        <v>3-2024</v>
      </c>
      <c r="J17" s="86" t="str">
        <f>(YEAR(F17)&amp;TEXT(Table1[[#This Row],[Week]],"00"))</f>
        <v>202410</v>
      </c>
      <c r="K17" s="79" t="str">
        <f>_xlfn.TEXTJOIN("-",TRUE,Table1[[#This Row],[Client]],Table1[[#This Row],[Budget ID]],Table1[[#This Row],[Ressource
'[Initials']]])</f>
        <v>Lab-Vent-240001-MS</v>
      </c>
      <c r="L17" s="19" t="s">
        <v>83</v>
      </c>
      <c r="M17" s="22"/>
      <c r="N17" s="22"/>
      <c r="O17" s="23">
        <v>2</v>
      </c>
      <c r="P17" s="117" cm="1">
        <f t="array" ref="P17">_xlfn.XLOOKUP(Table1[[#This Row],[UID
'[Helper']]],Table2[[#All],[UID
'[Helper']]],Table2[[#All],[Rate
DKK]],"Not found :(",0,1)</f>
        <v>800</v>
      </c>
      <c r="Q17" s="117">
        <f t="shared" si="2"/>
        <v>1600</v>
      </c>
      <c r="R17" s="118"/>
      <c r="S17" s="118"/>
    </row>
    <row r="18" spans="1:19" s="116" customFormat="1" ht="13.5">
      <c r="A18" s="18" t="s">
        <v>14</v>
      </c>
      <c r="B18" s="18" t="s">
        <v>24</v>
      </c>
      <c r="C18" s="19" t="s">
        <v>78</v>
      </c>
      <c r="D18" s="49">
        <v>230003</v>
      </c>
      <c r="E18" s="18" t="s">
        <v>37</v>
      </c>
      <c r="F18" s="20">
        <v>45355</v>
      </c>
      <c r="G18" s="21">
        <f t="shared" si="0"/>
        <v>10</v>
      </c>
      <c r="H18" s="21" t="s">
        <v>22</v>
      </c>
      <c r="I18" s="79" t="str">
        <f t="shared" si="1"/>
        <v>3-2024</v>
      </c>
      <c r="J18" s="86" t="str">
        <f>(YEAR(F18)&amp;TEXT(Table1[[#This Row],[Week]],"00"))</f>
        <v>202410</v>
      </c>
      <c r="K18" s="79" t="str">
        <f>_xlfn.TEXTJOIN("-",TRUE,Table1[[#This Row],[Client]],Table1[[#This Row],[Budget ID]],Table1[[#This Row],[Ressource
'[Initials']]])</f>
        <v>Labflex-230003-MS</v>
      </c>
      <c r="L18" s="19" t="s">
        <v>82</v>
      </c>
      <c r="M18" s="22"/>
      <c r="N18" s="22"/>
      <c r="O18" s="23">
        <v>1</v>
      </c>
      <c r="P18" s="117" cm="1">
        <f t="array" ref="P18">_xlfn.XLOOKUP(Table1[[#This Row],[UID
'[Helper']]],Table2[[#All],[UID
'[Helper']]],Table2[[#All],[Rate
DKK]],"Not found :(",0,1)</f>
        <v>825</v>
      </c>
      <c r="Q18" s="117">
        <f t="shared" si="2"/>
        <v>825</v>
      </c>
      <c r="R18" s="118"/>
      <c r="S18" s="118"/>
    </row>
    <row r="19" spans="1:19" s="116" customFormat="1" ht="13.5">
      <c r="A19" s="18" t="s">
        <v>14</v>
      </c>
      <c r="B19" s="18" t="s">
        <v>24</v>
      </c>
      <c r="C19" s="19" t="s">
        <v>70</v>
      </c>
      <c r="D19" s="49">
        <v>230003</v>
      </c>
      <c r="E19" s="18" t="s">
        <v>37</v>
      </c>
      <c r="F19" s="20">
        <v>45355</v>
      </c>
      <c r="G19" s="21">
        <f t="shared" si="0"/>
        <v>10</v>
      </c>
      <c r="H19" s="21" t="s">
        <v>22</v>
      </c>
      <c r="I19" s="79" t="str">
        <f t="shared" si="1"/>
        <v>3-2024</v>
      </c>
      <c r="J19" s="86" t="str">
        <f>(YEAR(F19)&amp;TEXT(Table1[[#This Row],[Week]],"00"))</f>
        <v>202410</v>
      </c>
      <c r="K19" s="79" t="str">
        <f>_xlfn.TEXTJOIN("-",TRUE,Table1[[#This Row],[Client]],Table1[[#This Row],[Budget ID]],Table1[[#This Row],[Ressource
'[Initials']]])</f>
        <v>Labflex-230003-MS</v>
      </c>
      <c r="L19" s="19" t="s">
        <v>81</v>
      </c>
      <c r="M19" s="22"/>
      <c r="N19" s="22"/>
      <c r="O19" s="23">
        <v>0.5</v>
      </c>
      <c r="P19" s="117" cm="1">
        <f t="array" ref="P19">_xlfn.XLOOKUP(Table1[[#This Row],[UID
'[Helper']]],Table2[[#All],[UID
'[Helper']]],Table2[[#All],[Rate
DKK]],"Not found :(",0,1)</f>
        <v>825</v>
      </c>
      <c r="Q19" s="117">
        <f t="shared" si="2"/>
        <v>412.5</v>
      </c>
      <c r="R19" s="118"/>
      <c r="S19" s="118"/>
    </row>
    <row r="20" spans="1:19" s="116" customFormat="1" ht="13.5">
      <c r="A20" s="18" t="s">
        <v>14</v>
      </c>
      <c r="B20" s="18" t="s">
        <v>24</v>
      </c>
      <c r="C20" s="19" t="s">
        <v>71</v>
      </c>
      <c r="D20" s="49">
        <v>230003</v>
      </c>
      <c r="E20" s="18" t="s">
        <v>79</v>
      </c>
      <c r="F20" s="20">
        <v>45355</v>
      </c>
      <c r="G20" s="21">
        <f t="shared" si="0"/>
        <v>10</v>
      </c>
      <c r="H20" s="21" t="s">
        <v>22</v>
      </c>
      <c r="I20" s="79" t="str">
        <f t="shared" si="1"/>
        <v>3-2024</v>
      </c>
      <c r="J20" s="86" t="str">
        <f>(YEAR(F20)&amp;TEXT(Table1[[#This Row],[Week]],"00"))</f>
        <v>202410</v>
      </c>
      <c r="K20" s="79" t="str">
        <f>_xlfn.TEXTJOIN("-",TRUE,Table1[[#This Row],[Client]],Table1[[#This Row],[Budget ID]],Table1[[#This Row],[Ressource
'[Initials']]])</f>
        <v>Labflex-230003-MS</v>
      </c>
      <c r="L20" s="19" t="s">
        <v>80</v>
      </c>
      <c r="M20" s="22"/>
      <c r="N20" s="22"/>
      <c r="O20" s="23">
        <v>0.5</v>
      </c>
      <c r="P20" s="117" cm="1">
        <f t="array" ref="P20">_xlfn.XLOOKUP(Table1[[#This Row],[UID
'[Helper']]],Table2[[#All],[UID
'[Helper']]],Table2[[#All],[Rate
DKK]],"Not found :(",0,1)</f>
        <v>825</v>
      </c>
      <c r="Q20" s="117">
        <f t="shared" si="2"/>
        <v>412.5</v>
      </c>
      <c r="R20" s="118"/>
      <c r="S20" s="118"/>
    </row>
    <row r="21" spans="1:19" s="116" customFormat="1" ht="13.5">
      <c r="A21" s="18" t="s">
        <v>14</v>
      </c>
      <c r="B21" s="18" t="s">
        <v>24</v>
      </c>
      <c r="C21" s="19" t="s">
        <v>72</v>
      </c>
      <c r="D21" s="49">
        <v>230003</v>
      </c>
      <c r="E21" s="18" t="s">
        <v>79</v>
      </c>
      <c r="F21" s="20">
        <v>45355</v>
      </c>
      <c r="G21" s="21">
        <f t="shared" si="0"/>
        <v>10</v>
      </c>
      <c r="H21" s="21" t="s">
        <v>22</v>
      </c>
      <c r="I21" s="79" t="str">
        <f t="shared" si="1"/>
        <v>3-2024</v>
      </c>
      <c r="J21" s="86" t="str">
        <f>(YEAR(F21)&amp;TEXT(Table1[[#This Row],[Week]],"00"))</f>
        <v>202410</v>
      </c>
      <c r="K21" s="79" t="str">
        <f>_xlfn.TEXTJOIN("-",TRUE,Table1[[#This Row],[Client]],Table1[[#This Row],[Budget ID]],Table1[[#This Row],[Ressource
'[Initials']]])</f>
        <v>Labflex-230003-MS</v>
      </c>
      <c r="L21" s="19" t="s">
        <v>80</v>
      </c>
      <c r="M21" s="22"/>
      <c r="N21" s="22"/>
      <c r="O21" s="23">
        <v>0.5</v>
      </c>
      <c r="P21" s="117" cm="1">
        <f t="array" ref="P21">_xlfn.XLOOKUP(Table1[[#This Row],[UID
'[Helper']]],Table2[[#All],[UID
'[Helper']]],Table2[[#All],[Rate
DKK]],"Not found :(",0,1)</f>
        <v>825</v>
      </c>
      <c r="Q21" s="117">
        <f t="shared" si="2"/>
        <v>412.5</v>
      </c>
      <c r="R21" s="118"/>
      <c r="S21" s="118"/>
    </row>
    <row r="22" spans="1:19" s="116" customFormat="1" ht="13.5">
      <c r="A22" s="18" t="s">
        <v>52</v>
      </c>
      <c r="B22" s="18" t="s">
        <v>59</v>
      </c>
      <c r="C22" s="19"/>
      <c r="D22" s="49">
        <v>240003</v>
      </c>
      <c r="E22" s="18" t="s">
        <v>37</v>
      </c>
      <c r="F22" s="20">
        <v>45355</v>
      </c>
      <c r="G22" s="21">
        <f t="shared" si="0"/>
        <v>10</v>
      </c>
      <c r="H22" s="21" t="s">
        <v>22</v>
      </c>
      <c r="I22" s="79" t="str">
        <f t="shared" si="1"/>
        <v>3-2024</v>
      </c>
      <c r="J22" s="86" t="str">
        <f>(YEAR(F22)&amp;TEXT(Table1[[#This Row],[Week]],"00"))</f>
        <v>202410</v>
      </c>
      <c r="K22" s="79" t="str">
        <f>_xlfn.TEXTJOIN("-",TRUE,Table1[[#This Row],[Client]],Table1[[#This Row],[Budget ID]],Table1[[#This Row],[Ressource
'[Initials']]])</f>
        <v>Lab-Vent-240003-MS</v>
      </c>
      <c r="L22" s="19" t="s">
        <v>84</v>
      </c>
      <c r="M22" s="22"/>
      <c r="N22" s="22"/>
      <c r="O22" s="23">
        <v>1</v>
      </c>
      <c r="P22" s="117" cm="1">
        <f t="array" ref="P22">_xlfn.XLOOKUP(Table1[[#This Row],[UID
'[Helper']]],Table2[[#All],[UID
'[Helper']]],Table2[[#All],[Rate
DKK]],"Not found :(",0,1)</f>
        <v>800</v>
      </c>
      <c r="Q22" s="117">
        <f t="shared" si="2"/>
        <v>800</v>
      </c>
      <c r="R22" s="118"/>
      <c r="S22" s="118"/>
    </row>
    <row r="23" spans="1:19" s="116" customFormat="1" ht="13.5">
      <c r="A23" s="18" t="s">
        <v>92</v>
      </c>
      <c r="B23" s="18" t="s">
        <v>93</v>
      </c>
      <c r="C23" s="19" t="s">
        <v>43</v>
      </c>
      <c r="D23" s="49" t="s">
        <v>135</v>
      </c>
      <c r="E23" s="18" t="s">
        <v>46</v>
      </c>
      <c r="F23" s="20">
        <v>45356</v>
      </c>
      <c r="G23" s="21">
        <f t="shared" si="0"/>
        <v>10</v>
      </c>
      <c r="H23" s="21" t="s">
        <v>20</v>
      </c>
      <c r="I23" s="79" t="str">
        <f t="shared" si="1"/>
        <v>3-2024</v>
      </c>
      <c r="J23" s="86" t="str">
        <f>(YEAR(F23)&amp;TEXT(Table1[[#This Row],[Week]],"00"))</f>
        <v>202410</v>
      </c>
      <c r="K23" s="79" t="str">
        <f>_xlfn.TEXTJOIN("-",TRUE,Table1[[#This Row],[Client]],Table1[[#This Row],[Budget ID]],Table1[[#This Row],[Ressource
'[Initials']]])</f>
        <v>Novo Nordisk-230002-1-DS</v>
      </c>
      <c r="L23" s="19" t="s">
        <v>62</v>
      </c>
      <c r="M23" s="22"/>
      <c r="N23" s="22"/>
      <c r="O23" s="23">
        <v>6.5</v>
      </c>
      <c r="P23" s="117" cm="1">
        <f t="array" ref="P23">_xlfn.XLOOKUP(Table1[[#This Row],[UID
'[Helper']]],Table2[[#All],[UID
'[Helper']]],Table2[[#All],[Rate
DKK]],"Not found :(",0,1)</f>
        <v>900</v>
      </c>
      <c r="Q23" s="117">
        <f t="shared" si="2"/>
        <v>5850</v>
      </c>
      <c r="R23" s="118"/>
      <c r="S23" s="118"/>
    </row>
    <row r="24" spans="1:19" s="116" customFormat="1" ht="13.5">
      <c r="A24" s="18" t="s">
        <v>92</v>
      </c>
      <c r="B24" s="18" t="s">
        <v>93</v>
      </c>
      <c r="C24" s="19" t="s">
        <v>43</v>
      </c>
      <c r="D24" s="49" t="s">
        <v>135</v>
      </c>
      <c r="E24" s="18" t="s">
        <v>46</v>
      </c>
      <c r="F24" s="20">
        <v>45356</v>
      </c>
      <c r="G24" s="21">
        <f t="shared" si="0"/>
        <v>10</v>
      </c>
      <c r="H24" s="21" t="s">
        <v>54</v>
      </c>
      <c r="I24" s="79" t="str">
        <f t="shared" si="1"/>
        <v>3-2024</v>
      </c>
      <c r="J24" s="86" t="str">
        <f>(YEAR(F24)&amp;TEXT(Table1[[#This Row],[Week]],"00"))</f>
        <v>202410</v>
      </c>
      <c r="K24" s="79" t="str">
        <f>_xlfn.TEXTJOIN("-",TRUE,Table1[[#This Row],[Client]],Table1[[#This Row],[Budget ID]],Table1[[#This Row],[Ressource
'[Initials']]])</f>
        <v>Novo Nordisk-230002-1-ML</v>
      </c>
      <c r="L24" s="19" t="s">
        <v>63</v>
      </c>
      <c r="M24" s="22"/>
      <c r="N24" s="22"/>
      <c r="O24" s="23">
        <v>3</v>
      </c>
      <c r="P24" s="117" cm="1">
        <f t="array" ref="P24">_xlfn.XLOOKUP(Table1[[#This Row],[UID
'[Helper']]],Table2[[#All],[UID
'[Helper']]],Table2[[#All],[Rate
DKK]],"Not found :(",0,1)</f>
        <v>900</v>
      </c>
      <c r="Q24" s="117">
        <f t="shared" si="2"/>
        <v>2700</v>
      </c>
      <c r="R24" s="118"/>
      <c r="S24" s="118"/>
    </row>
    <row r="25" spans="1:19" s="116" customFormat="1" ht="13.5">
      <c r="A25" s="18" t="s">
        <v>14</v>
      </c>
      <c r="B25" s="18" t="s">
        <v>24</v>
      </c>
      <c r="C25" s="19"/>
      <c r="D25" s="49">
        <v>230003</v>
      </c>
      <c r="E25" s="18" t="s">
        <v>46</v>
      </c>
      <c r="F25" s="20">
        <v>45356</v>
      </c>
      <c r="G25" s="21">
        <f t="shared" si="0"/>
        <v>10</v>
      </c>
      <c r="H25" s="21" t="s">
        <v>54</v>
      </c>
      <c r="I25" s="79" t="str">
        <f t="shared" si="1"/>
        <v>3-2024</v>
      </c>
      <c r="J25" s="86" t="str">
        <f>(YEAR(F25)&amp;TEXT(Table1[[#This Row],[Week]],"00"))</f>
        <v>202410</v>
      </c>
      <c r="K25" s="79" t="str">
        <f>_xlfn.TEXTJOIN("-",TRUE,Table1[[#This Row],[Client]],Table1[[#This Row],[Budget ID]],Table1[[#This Row],[Ressource
'[Initials']]])</f>
        <v>Labflex-230003-ML</v>
      </c>
      <c r="L25" s="19" t="s">
        <v>64</v>
      </c>
      <c r="M25" s="22"/>
      <c r="N25" s="22"/>
      <c r="O25" s="23">
        <v>1</v>
      </c>
      <c r="P25" s="117" cm="1">
        <f t="array" ref="P25">_xlfn.XLOOKUP(Table1[[#This Row],[UID
'[Helper']]],Table2[[#All],[UID
'[Helper']]],Table2[[#All],[Rate
DKK]],"Not found :(",0,1)</f>
        <v>825</v>
      </c>
      <c r="Q25" s="117">
        <f t="shared" si="2"/>
        <v>825</v>
      </c>
      <c r="R25" s="118"/>
      <c r="S25" s="118"/>
    </row>
    <row r="26" spans="1:19" s="116" customFormat="1" ht="27">
      <c r="A26" s="18" t="s">
        <v>92</v>
      </c>
      <c r="B26" s="18" t="s">
        <v>93</v>
      </c>
      <c r="C26" s="19" t="s">
        <v>43</v>
      </c>
      <c r="D26" s="49" t="s">
        <v>135</v>
      </c>
      <c r="E26" s="18" t="s">
        <v>46</v>
      </c>
      <c r="F26" s="20">
        <v>45356</v>
      </c>
      <c r="G26" s="21">
        <f t="shared" si="0"/>
        <v>10</v>
      </c>
      <c r="H26" s="21" t="s">
        <v>22</v>
      </c>
      <c r="I26" s="79" t="str">
        <f t="shared" si="1"/>
        <v>3-2024</v>
      </c>
      <c r="J26" s="86" t="str">
        <f>(YEAR(F26)&amp;TEXT(Table1[[#This Row],[Week]],"00"))</f>
        <v>202410</v>
      </c>
      <c r="K26" s="79" t="str">
        <f>_xlfn.TEXTJOIN("-",TRUE,Table1[[#This Row],[Client]],Table1[[#This Row],[Budget ID]],Table1[[#This Row],[Ressource
'[Initials']]])</f>
        <v>Novo Nordisk-230002-1-MS</v>
      </c>
      <c r="L26" s="19" t="s">
        <v>85</v>
      </c>
      <c r="M26" s="22"/>
      <c r="N26" s="22"/>
      <c r="O26" s="23">
        <v>5.5</v>
      </c>
      <c r="P26" s="117" cm="1">
        <f t="array" ref="P26">_xlfn.XLOOKUP(Table1[[#This Row],[UID
'[Helper']]],Table2[[#All],[UID
'[Helper']]],Table2[[#All],[Rate
DKK]],"Not found :(",0,1)</f>
        <v>900</v>
      </c>
      <c r="Q26" s="117">
        <f t="shared" si="2"/>
        <v>4950</v>
      </c>
      <c r="R26" s="118"/>
      <c r="S26" s="118"/>
    </row>
    <row r="27" spans="1:19" s="116" customFormat="1" ht="27">
      <c r="A27" s="18" t="s">
        <v>52</v>
      </c>
      <c r="B27" s="18" t="s">
        <v>58</v>
      </c>
      <c r="C27" s="19" t="s">
        <v>65</v>
      </c>
      <c r="D27" s="49">
        <v>240001</v>
      </c>
      <c r="E27" s="18" t="s">
        <v>37</v>
      </c>
      <c r="F27" s="20">
        <v>45356</v>
      </c>
      <c r="G27" s="21">
        <f t="shared" si="0"/>
        <v>10</v>
      </c>
      <c r="H27" s="21" t="s">
        <v>22</v>
      </c>
      <c r="I27" s="79" t="str">
        <f t="shared" si="1"/>
        <v>3-2024</v>
      </c>
      <c r="J27" s="86" t="str">
        <f>(YEAR(F27)&amp;TEXT(Table1[[#This Row],[Week]],"00"))</f>
        <v>202410</v>
      </c>
      <c r="K27" s="79" t="str">
        <f>_xlfn.TEXTJOIN("-",TRUE,Table1[[#This Row],[Client]],Table1[[#This Row],[Budget ID]],Table1[[#This Row],[Ressource
'[Initials']]])</f>
        <v>Lab-Vent-240001-MS</v>
      </c>
      <c r="L27" s="19" t="s">
        <v>90</v>
      </c>
      <c r="M27" s="22"/>
      <c r="N27" s="22"/>
      <c r="O27" s="23">
        <v>1.5</v>
      </c>
      <c r="P27" s="117" cm="1">
        <f t="array" ref="P27">_xlfn.XLOOKUP(Table1[[#This Row],[UID
'[Helper']]],Table2[[#All],[UID
'[Helper']]],Table2[[#All],[Rate
DKK]],"Not found :(",0,1)</f>
        <v>800</v>
      </c>
      <c r="Q27" s="117">
        <f t="shared" si="2"/>
        <v>1200</v>
      </c>
      <c r="R27" s="118"/>
      <c r="S27" s="118"/>
    </row>
    <row r="28" spans="1:19" s="116" customFormat="1" ht="27">
      <c r="A28" s="18" t="s">
        <v>14</v>
      </c>
      <c r="B28" s="18" t="s">
        <v>24</v>
      </c>
      <c r="C28" s="19" t="s">
        <v>78</v>
      </c>
      <c r="D28" s="49">
        <v>230003</v>
      </c>
      <c r="E28" s="18" t="s">
        <v>37</v>
      </c>
      <c r="F28" s="20">
        <v>45356</v>
      </c>
      <c r="G28" s="21">
        <f t="shared" si="0"/>
        <v>10</v>
      </c>
      <c r="H28" s="21" t="s">
        <v>22</v>
      </c>
      <c r="I28" s="79" t="str">
        <f t="shared" si="1"/>
        <v>3-2024</v>
      </c>
      <c r="J28" s="86" t="str">
        <f>(YEAR(F28)&amp;TEXT(Table1[[#This Row],[Week]],"00"))</f>
        <v>202410</v>
      </c>
      <c r="K28" s="79" t="str">
        <f>_xlfn.TEXTJOIN("-",TRUE,Table1[[#This Row],[Client]],Table1[[#This Row],[Budget ID]],Table1[[#This Row],[Ressource
'[Initials']]])</f>
        <v>Labflex-230003-MS</v>
      </c>
      <c r="L28" s="19" t="s">
        <v>86</v>
      </c>
      <c r="M28" s="22"/>
      <c r="N28" s="22"/>
      <c r="O28" s="23">
        <v>1.5</v>
      </c>
      <c r="P28" s="117" cm="1">
        <f t="array" ref="P28">_xlfn.XLOOKUP(Table1[[#This Row],[UID
'[Helper']]],Table2[[#All],[UID
'[Helper']]],Table2[[#All],[Rate
DKK]],"Not found :(",0,1)</f>
        <v>825</v>
      </c>
      <c r="Q28" s="117">
        <f t="shared" si="2"/>
        <v>1237.5</v>
      </c>
      <c r="R28" s="118"/>
      <c r="S28" s="118"/>
    </row>
    <row r="29" spans="1:19" s="116" customFormat="1" ht="13.5">
      <c r="A29" s="18" t="s">
        <v>14</v>
      </c>
      <c r="B29" s="18" t="s">
        <v>24</v>
      </c>
      <c r="C29" s="19" t="s">
        <v>70</v>
      </c>
      <c r="D29" s="49">
        <v>230003</v>
      </c>
      <c r="E29" s="18" t="s">
        <v>37</v>
      </c>
      <c r="F29" s="20">
        <v>45356</v>
      </c>
      <c r="G29" s="21">
        <f t="shared" si="0"/>
        <v>10</v>
      </c>
      <c r="H29" s="21" t="s">
        <v>22</v>
      </c>
      <c r="I29" s="79" t="str">
        <f t="shared" si="1"/>
        <v>3-2024</v>
      </c>
      <c r="J29" s="86" t="str">
        <f>(YEAR(F29)&amp;TEXT(Table1[[#This Row],[Week]],"00"))</f>
        <v>202410</v>
      </c>
      <c r="K29" s="79" t="str">
        <f>_xlfn.TEXTJOIN("-",TRUE,Table1[[#This Row],[Client]],Table1[[#This Row],[Budget ID]],Table1[[#This Row],[Ressource
'[Initials']]])</f>
        <v>Labflex-230003-MS</v>
      </c>
      <c r="L29" s="19" t="s">
        <v>91</v>
      </c>
      <c r="M29" s="22"/>
      <c r="N29" s="22"/>
      <c r="O29" s="23">
        <v>0.5</v>
      </c>
      <c r="P29" s="117" cm="1">
        <f t="array" ref="P29">_xlfn.XLOOKUP(Table1[[#This Row],[UID
'[Helper']]],Table2[[#All],[UID
'[Helper']]],Table2[[#All],[Rate
DKK]],"Not found :(",0,1)</f>
        <v>825</v>
      </c>
      <c r="Q29" s="117">
        <f t="shared" si="2"/>
        <v>412.5</v>
      </c>
      <c r="R29" s="118"/>
      <c r="S29" s="118"/>
    </row>
    <row r="30" spans="1:19" s="116" customFormat="1" ht="27">
      <c r="A30" s="18" t="s">
        <v>14</v>
      </c>
      <c r="B30" s="18" t="s">
        <v>24</v>
      </c>
      <c r="C30" s="19" t="s">
        <v>71</v>
      </c>
      <c r="D30" s="49">
        <v>230003</v>
      </c>
      <c r="E30" s="18" t="s">
        <v>79</v>
      </c>
      <c r="F30" s="20">
        <v>45356</v>
      </c>
      <c r="G30" s="21">
        <f t="shared" si="0"/>
        <v>10</v>
      </c>
      <c r="H30" s="21" t="s">
        <v>22</v>
      </c>
      <c r="I30" s="79" t="str">
        <f t="shared" si="1"/>
        <v>3-2024</v>
      </c>
      <c r="J30" s="86" t="str">
        <f>(YEAR(F30)&amp;TEXT(Table1[[#This Row],[Week]],"00"))</f>
        <v>202410</v>
      </c>
      <c r="K30" s="79" t="str">
        <f>_xlfn.TEXTJOIN("-",TRUE,Table1[[#This Row],[Client]],Table1[[#This Row],[Budget ID]],Table1[[#This Row],[Ressource
'[Initials']]])</f>
        <v>Labflex-230003-MS</v>
      </c>
      <c r="L30" s="19" t="s">
        <v>87</v>
      </c>
      <c r="M30" s="22"/>
      <c r="N30" s="22"/>
      <c r="O30" s="23">
        <v>0.5</v>
      </c>
      <c r="P30" s="117" cm="1">
        <f t="array" ref="P30">_xlfn.XLOOKUP(Table1[[#This Row],[UID
'[Helper']]],Table2[[#All],[UID
'[Helper']]],Table2[[#All],[Rate
DKK]],"Not found :(",0,1)</f>
        <v>825</v>
      </c>
      <c r="Q30" s="117">
        <f t="shared" si="2"/>
        <v>412.5</v>
      </c>
      <c r="R30" s="118"/>
      <c r="S30" s="118"/>
    </row>
    <row r="31" spans="1:19" s="116" customFormat="1" ht="27">
      <c r="A31" s="18" t="s">
        <v>14</v>
      </c>
      <c r="B31" s="18" t="s">
        <v>24</v>
      </c>
      <c r="C31" s="19" t="s">
        <v>72</v>
      </c>
      <c r="D31" s="49">
        <v>230003</v>
      </c>
      <c r="E31" s="18" t="s">
        <v>79</v>
      </c>
      <c r="F31" s="20">
        <v>45356</v>
      </c>
      <c r="G31" s="21">
        <f t="shared" si="0"/>
        <v>10</v>
      </c>
      <c r="H31" s="21" t="s">
        <v>22</v>
      </c>
      <c r="I31" s="79" t="str">
        <f>(MONTH(F31)&amp;"-"&amp;YEAR(F31))</f>
        <v>3-2024</v>
      </c>
      <c r="J31" s="86" t="str">
        <f>(YEAR(F31)&amp;TEXT(Table1[[#This Row],[Week]],"00"))</f>
        <v>202410</v>
      </c>
      <c r="K31" s="79" t="str">
        <f>_xlfn.TEXTJOIN("-",TRUE,Table1[[#This Row],[Client]],Table1[[#This Row],[Budget ID]],Table1[[#This Row],[Ressource
'[Initials']]])</f>
        <v>Labflex-230003-MS</v>
      </c>
      <c r="L31" s="19" t="s">
        <v>87</v>
      </c>
      <c r="M31" s="22"/>
      <c r="N31" s="22"/>
      <c r="O31" s="23">
        <v>0.5</v>
      </c>
      <c r="P31" s="117" cm="1">
        <f t="array" ref="P31">_xlfn.XLOOKUP(Table1[[#This Row],[UID
'[Helper']]],Table2[[#All],[UID
'[Helper']]],Table2[[#All],[Rate
DKK]],"Not found :(",0,1)</f>
        <v>825</v>
      </c>
      <c r="Q31" s="117">
        <f t="shared" si="2"/>
        <v>412.5</v>
      </c>
      <c r="R31" s="118"/>
      <c r="S31" s="118"/>
    </row>
    <row r="32" spans="1:19" s="116" customFormat="1" ht="13.5">
      <c r="A32" s="18" t="s">
        <v>14</v>
      </c>
      <c r="B32" s="18" t="s">
        <v>24</v>
      </c>
      <c r="C32" s="19" t="s">
        <v>68</v>
      </c>
      <c r="D32" s="49">
        <v>230003</v>
      </c>
      <c r="E32" s="18" t="s">
        <v>79</v>
      </c>
      <c r="F32" s="20">
        <v>45356</v>
      </c>
      <c r="G32" s="21">
        <f t="shared" si="0"/>
        <v>10</v>
      </c>
      <c r="H32" s="21" t="s">
        <v>22</v>
      </c>
      <c r="I32" s="79" t="str">
        <f t="shared" si="1"/>
        <v>3-2024</v>
      </c>
      <c r="J32" s="86" t="str">
        <f>(YEAR(F32)&amp;TEXT(Table1[[#This Row],[Week]],"00"))</f>
        <v>202410</v>
      </c>
      <c r="K32" s="79" t="str">
        <f>_xlfn.TEXTJOIN("-",TRUE,Table1[[#This Row],[Client]],Table1[[#This Row],[Budget ID]],Table1[[#This Row],[Ressource
'[Initials']]])</f>
        <v>Labflex-230003-MS</v>
      </c>
      <c r="L32" s="19" t="s">
        <v>88</v>
      </c>
      <c r="M32" s="22"/>
      <c r="N32" s="22"/>
      <c r="O32" s="23">
        <v>0.5</v>
      </c>
      <c r="P32" s="117" cm="1">
        <f t="array" ref="P32">_xlfn.XLOOKUP(Table1[[#This Row],[UID
'[Helper']]],Table2[[#All],[UID
'[Helper']]],Table2[[#All],[Rate
DKK]],"Not found :(",0,1)</f>
        <v>825</v>
      </c>
      <c r="Q32" s="117">
        <f t="shared" si="2"/>
        <v>412.5</v>
      </c>
      <c r="R32" s="118"/>
      <c r="S32" s="118"/>
    </row>
    <row r="33" spans="1:19" s="116" customFormat="1" ht="13.5">
      <c r="A33" s="18" t="s">
        <v>14</v>
      </c>
      <c r="B33" s="18" t="s">
        <v>24</v>
      </c>
      <c r="C33" s="19" t="s">
        <v>66</v>
      </c>
      <c r="D33" s="49">
        <v>230003</v>
      </c>
      <c r="E33" s="18" t="s">
        <v>79</v>
      </c>
      <c r="F33" s="20">
        <v>45356</v>
      </c>
      <c r="G33" s="21">
        <f t="shared" si="0"/>
        <v>10</v>
      </c>
      <c r="H33" s="21" t="s">
        <v>22</v>
      </c>
      <c r="I33" s="79" t="str">
        <f t="shared" si="1"/>
        <v>3-2024</v>
      </c>
      <c r="J33" s="86" t="str">
        <f>(YEAR(F33)&amp;TEXT(Table1[[#This Row],[Week]],"00"))</f>
        <v>202410</v>
      </c>
      <c r="K33" s="79" t="str">
        <f>_xlfn.TEXTJOIN("-",TRUE,Table1[[#This Row],[Client]],Table1[[#This Row],[Budget ID]],Table1[[#This Row],[Ressource
'[Initials']]])</f>
        <v>Labflex-230003-MS</v>
      </c>
      <c r="L33" s="19" t="s">
        <v>89</v>
      </c>
      <c r="M33" s="22"/>
      <c r="N33" s="22"/>
      <c r="O33" s="23">
        <v>1</v>
      </c>
      <c r="P33" s="117" cm="1">
        <f t="array" ref="P33">_xlfn.XLOOKUP(Table1[[#This Row],[UID
'[Helper']]],Table2[[#All],[UID
'[Helper']]],Table2[[#All],[Rate
DKK]],"Not found :(",0,1)</f>
        <v>825</v>
      </c>
      <c r="Q33" s="117">
        <f t="shared" si="2"/>
        <v>825</v>
      </c>
      <c r="R33" s="118"/>
      <c r="S33" s="118"/>
    </row>
    <row r="34" spans="1:19" s="116" customFormat="1" ht="27">
      <c r="A34" s="18" t="s">
        <v>14</v>
      </c>
      <c r="B34" s="36" t="s">
        <v>24</v>
      </c>
      <c r="C34" s="19" t="s">
        <v>72</v>
      </c>
      <c r="D34" s="49">
        <v>230003</v>
      </c>
      <c r="E34" s="18" t="s">
        <v>79</v>
      </c>
      <c r="F34" s="35">
        <v>45356</v>
      </c>
      <c r="G34" s="38">
        <f t="shared" si="0"/>
        <v>10</v>
      </c>
      <c r="H34" s="21" t="s">
        <v>22</v>
      </c>
      <c r="I34" s="79" t="str">
        <f t="shared" si="1"/>
        <v>3-2024</v>
      </c>
      <c r="J34" s="86" t="str">
        <f>(YEAR(F34)&amp;TEXT(Table1[[#This Row],[Week]],"00"))</f>
        <v>202410</v>
      </c>
      <c r="K34" s="79" t="str">
        <f>_xlfn.TEXTJOIN("-",TRUE,Table1[[#This Row],[Client]],Table1[[#This Row],[Budget ID]],Table1[[#This Row],[Ressource
'[Initials']]])</f>
        <v>Labflex-230003-MS</v>
      </c>
      <c r="L34" s="19" t="s">
        <v>87</v>
      </c>
      <c r="M34" s="22"/>
      <c r="N34" s="22"/>
      <c r="O34" s="23">
        <v>0.5</v>
      </c>
      <c r="P34" s="119" cm="1">
        <f t="array" ref="P34">_xlfn.XLOOKUP(Table1[[#This Row],[UID
'[Helper']]],Table2[[#All],[UID
'[Helper']]],Table2[[#All],[Rate
DKK]],"Not found :(",0,1)</f>
        <v>825</v>
      </c>
      <c r="Q34" s="117">
        <f t="shared" si="2"/>
        <v>412.5</v>
      </c>
      <c r="R34" s="118"/>
      <c r="S34" s="118"/>
    </row>
    <row r="35" spans="1:19" s="116" customFormat="1" ht="13.5">
      <c r="A35" s="39" t="s">
        <v>14</v>
      </c>
      <c r="B35" s="36" t="s">
        <v>24</v>
      </c>
      <c r="C35" s="37" t="s">
        <v>68</v>
      </c>
      <c r="D35" s="49">
        <v>230003</v>
      </c>
      <c r="E35" s="36" t="s">
        <v>79</v>
      </c>
      <c r="F35" s="35">
        <v>45356</v>
      </c>
      <c r="G35" s="38">
        <f t="shared" si="0"/>
        <v>10</v>
      </c>
      <c r="H35" s="38" t="s">
        <v>22</v>
      </c>
      <c r="I35" s="79" t="str">
        <f t="shared" si="1"/>
        <v>3-2024</v>
      </c>
      <c r="J35" s="86" t="str">
        <f>(YEAR(F35)&amp;TEXT(Table1[[#This Row],[Week]],"00"))</f>
        <v>202410</v>
      </c>
      <c r="K35" s="79" t="str">
        <f>_xlfn.TEXTJOIN("-",TRUE,Table1[[#This Row],[Client]],Table1[[#This Row],[Budget ID]],Table1[[#This Row],[Ressource
'[Initials']]])</f>
        <v>Labflex-230003-MS</v>
      </c>
      <c r="L35" s="37" t="s">
        <v>88</v>
      </c>
      <c r="M35" s="40"/>
      <c r="N35" s="40"/>
      <c r="O35" s="41">
        <v>0.5</v>
      </c>
      <c r="P35" s="117" cm="1">
        <f t="array" ref="P35">_xlfn.XLOOKUP(Table1[[#This Row],[UID
'[Helper']]],Table2[[#All],[UID
'[Helper']]],Table2[[#All],[Rate
DKK]],"Not found :(",0,1)</f>
        <v>825</v>
      </c>
      <c r="Q35" s="119">
        <f t="shared" si="2"/>
        <v>412.5</v>
      </c>
      <c r="R35" s="120"/>
      <c r="S35" s="121"/>
    </row>
    <row r="36" spans="1:19" ht="13.5">
      <c r="A36" s="18" t="s">
        <v>17</v>
      </c>
      <c r="B36" s="18" t="s">
        <v>95</v>
      </c>
      <c r="C36" s="19" t="s">
        <v>158</v>
      </c>
      <c r="D36" s="49" t="s">
        <v>146</v>
      </c>
      <c r="E36" s="18" t="s">
        <v>46</v>
      </c>
      <c r="F36" s="64">
        <v>45629</v>
      </c>
      <c r="G36" s="21">
        <f t="shared" ref="G36:G40" si="3">WEEKNUM($F36,21)</f>
        <v>49</v>
      </c>
      <c r="H36" s="21" t="s">
        <v>20</v>
      </c>
      <c r="I36" s="79" t="str">
        <f t="shared" ref="I36:I67" si="4">(MONTH(F36)&amp;"-"&amp;YEAR(F36))</f>
        <v>12-2024</v>
      </c>
      <c r="J36" s="86" t="str">
        <f>(YEAR(F36)&amp;TEXT(Table1[[#This Row],[Week]],"00"))</f>
        <v>202449</v>
      </c>
      <c r="K36" s="79" t="str">
        <f>_xlfn.TEXTJOIN("-",TRUE,Table1[[#This Row],[Client]],Table1[[#This Row],[Budget ID]],Table1[[#This Row],[Ressource
'[Initials']]])</f>
        <v>RH Arkitekter-240005-1-DS</v>
      </c>
      <c r="L36" s="19" t="s">
        <v>170</v>
      </c>
      <c r="M36" s="22"/>
      <c r="N36" s="22"/>
      <c r="O36" s="23">
        <v>0.5</v>
      </c>
      <c r="P36" s="117" cm="1">
        <f t="array" ref="P36">_xlfn.XLOOKUP(Table1[[#This Row],[UID
'[Helper']]],Table2[[#All],[UID
'[Helper']]],Table2[[#All],[Rate
DKK]],"Not found :(",0,1)</f>
        <v>900</v>
      </c>
      <c r="Q36" s="117">
        <f t="shared" ref="Q36:Q67" si="5">IFERROR(O36*P36,0)</f>
        <v>450</v>
      </c>
      <c r="R36" s="118"/>
      <c r="S36" s="118"/>
    </row>
    <row r="37" spans="1:19" ht="13.5">
      <c r="A37" s="72" t="s">
        <v>92</v>
      </c>
      <c r="B37" s="74" t="s">
        <v>139</v>
      </c>
      <c r="C37" s="76" t="s">
        <v>43</v>
      </c>
      <c r="D37" s="70" t="s">
        <v>149</v>
      </c>
      <c r="E37" s="74" t="s">
        <v>46</v>
      </c>
      <c r="F37" s="64">
        <v>45629</v>
      </c>
      <c r="G37" s="78">
        <f t="shared" si="3"/>
        <v>49</v>
      </c>
      <c r="H37" s="78" t="s">
        <v>20</v>
      </c>
      <c r="I37" s="79" t="str">
        <f t="shared" si="4"/>
        <v>12-2024</v>
      </c>
      <c r="J37" s="86" t="str">
        <f>(YEAR(F37)&amp;TEXT(Table1[[#This Row],[Week]],"00"))</f>
        <v>202449</v>
      </c>
      <c r="K37" s="79" t="str">
        <f>_xlfn.TEXTJOIN("-",TRUE,Table1[[#This Row],[Client]],Table1[[#This Row],[Budget ID]],Table1[[#This Row],[Ressource
'[Initials']]])</f>
        <v>Novo Nordisk-240017-1-DS</v>
      </c>
      <c r="L37" s="19" t="s">
        <v>171</v>
      </c>
      <c r="M37" s="22"/>
      <c r="N37" s="22"/>
      <c r="O37" s="23">
        <v>7</v>
      </c>
      <c r="P37" s="117" cm="1">
        <f t="array" ref="P37">_xlfn.XLOOKUP(Table1[[#This Row],[UID
'[Helper']]],Table2[[#All],[UID
'[Helper']]],Table2[[#All],[Rate
DKK]],"Not found :(",0,1)</f>
        <v>900</v>
      </c>
      <c r="Q37" s="117">
        <f t="shared" si="5"/>
        <v>6300</v>
      </c>
      <c r="R37" s="118"/>
      <c r="S37" s="118"/>
    </row>
    <row r="38" spans="1:19" ht="13.5">
      <c r="A38" s="42" t="s">
        <v>143</v>
      </c>
      <c r="B38" s="43" t="s">
        <v>144</v>
      </c>
      <c r="C38" s="44"/>
      <c r="D38" s="71">
        <v>240018</v>
      </c>
      <c r="E38" s="43" t="s">
        <v>79</v>
      </c>
      <c r="F38" s="64">
        <v>45629</v>
      </c>
      <c r="G38" s="45">
        <f t="shared" si="3"/>
        <v>49</v>
      </c>
      <c r="H38" s="45" t="s">
        <v>22</v>
      </c>
      <c r="I38" s="79" t="str">
        <f t="shared" si="4"/>
        <v>12-2024</v>
      </c>
      <c r="J38" s="86" t="str">
        <f>(YEAR(F38)&amp;TEXT(Table1[[#This Row],[Week]],"00"))</f>
        <v>202449</v>
      </c>
      <c r="K38" s="79" t="str">
        <f>_xlfn.TEXTJOIN("-",TRUE,Table1[[#This Row],[Client]],Table1[[#This Row],[Budget ID]],Table1[[#This Row],[Ressource
'[Initials']]])</f>
        <v>CCRM-240018-MS</v>
      </c>
      <c r="L38" s="19" t="s">
        <v>165</v>
      </c>
      <c r="M38" s="22"/>
      <c r="N38" s="22"/>
      <c r="O38" s="23">
        <v>1</v>
      </c>
      <c r="P38" s="117" cm="1">
        <f t="array" ref="P38">_xlfn.XLOOKUP(Table1[[#This Row],[UID
'[Helper']]],Table2[[#All],[UID
'[Helper']]],Table2[[#All],[Rate
DKK]],"Not found :(",0,1)</f>
        <v>900</v>
      </c>
      <c r="Q38" s="117">
        <f t="shared" si="5"/>
        <v>900</v>
      </c>
      <c r="R38" s="118"/>
      <c r="S38" s="118"/>
    </row>
    <row r="39" spans="1:19" ht="13.5">
      <c r="A39" s="66" t="s">
        <v>107</v>
      </c>
      <c r="B39" s="66" t="s">
        <v>154</v>
      </c>
      <c r="C39" s="67"/>
      <c r="D39" s="49">
        <v>240022</v>
      </c>
      <c r="E39" s="66" t="s">
        <v>37</v>
      </c>
      <c r="F39" s="68">
        <v>45629</v>
      </c>
      <c r="G39" s="69">
        <f t="shared" si="3"/>
        <v>49</v>
      </c>
      <c r="H39" s="69" t="s">
        <v>54</v>
      </c>
      <c r="I39" s="79" t="str">
        <f t="shared" si="4"/>
        <v>12-2024</v>
      </c>
      <c r="J39" s="86" t="str">
        <f>(YEAR(F39)&amp;TEXT(Table1[[#This Row],[Week]],"00"))</f>
        <v>202449</v>
      </c>
      <c r="K39" s="79" t="str">
        <f>_xlfn.TEXTJOIN("-",TRUE,Table1[[#This Row],[Client]],Table1[[#This Row],[Budget ID]],Table1[[#This Row],[Ressource
'[Initials']]])</f>
        <v>Zystm-240022-ML</v>
      </c>
      <c r="L39" s="19" t="s">
        <v>163</v>
      </c>
      <c r="M39" s="22"/>
      <c r="N39" s="22"/>
      <c r="O39" s="23">
        <v>2.5</v>
      </c>
      <c r="P39" s="117" cm="1">
        <f t="array" ref="P39">_xlfn.XLOOKUP(Table1[[#This Row],[UID
'[Helper']]],Table2[[#All],[UID
'[Helper']]],Table2[[#All],[Rate
DKK]],"Not found :(",0,1)</f>
        <v>850</v>
      </c>
      <c r="Q39" s="117">
        <f t="shared" si="5"/>
        <v>2125</v>
      </c>
      <c r="R39" s="118"/>
      <c r="S39" s="118"/>
    </row>
    <row r="40" spans="1:19" ht="13.5">
      <c r="A40" s="62" t="s">
        <v>107</v>
      </c>
      <c r="B40" s="62" t="s">
        <v>153</v>
      </c>
      <c r="C40" s="63"/>
      <c r="D40" s="49">
        <v>240021</v>
      </c>
      <c r="E40" s="62" t="s">
        <v>37</v>
      </c>
      <c r="F40" s="64">
        <v>45629</v>
      </c>
      <c r="G40" s="65">
        <f t="shared" si="3"/>
        <v>49</v>
      </c>
      <c r="H40" s="65" t="s">
        <v>54</v>
      </c>
      <c r="I40" s="79" t="str">
        <f t="shared" si="4"/>
        <v>12-2024</v>
      </c>
      <c r="J40" s="86" t="str">
        <f>(YEAR(F40)&amp;TEXT(Table1[[#This Row],[Week]],"00"))</f>
        <v>202449</v>
      </c>
      <c r="K40" s="79" t="str">
        <f>_xlfn.TEXTJOIN("-",TRUE,Table1[[#This Row],[Client]],Table1[[#This Row],[Budget ID]],Table1[[#This Row],[Ressource
'[Initials']]])</f>
        <v>Zystm-240021-ML</v>
      </c>
      <c r="L40" s="19" t="s">
        <v>164</v>
      </c>
      <c r="M40" s="22"/>
      <c r="N40" s="22"/>
      <c r="O40" s="23">
        <v>0.5</v>
      </c>
      <c r="P40" s="117" cm="1">
        <f t="array" ref="P40">_xlfn.XLOOKUP(Table1[[#This Row],[UID
'[Helper']]],Table2[[#All],[UID
'[Helper']]],Table2[[#All],[Rate
DKK]],"Not found :(",0,1)</f>
        <v>850</v>
      </c>
      <c r="Q40" s="117">
        <f t="shared" si="5"/>
        <v>425</v>
      </c>
      <c r="R40" s="118"/>
      <c r="S40" s="118"/>
    </row>
    <row r="41" spans="1:19" ht="13.5">
      <c r="A41" s="18" t="s">
        <v>14</v>
      </c>
      <c r="B41" s="18" t="s">
        <v>24</v>
      </c>
      <c r="C41" s="19" t="s">
        <v>72</v>
      </c>
      <c r="D41" s="49">
        <v>230003</v>
      </c>
      <c r="E41" s="18" t="s">
        <v>37</v>
      </c>
      <c r="F41" s="64">
        <v>45629</v>
      </c>
      <c r="G41" s="21">
        <f t="shared" ref="G41:G81" si="6">WEEKNUM($F41,21)</f>
        <v>49</v>
      </c>
      <c r="H41" s="21" t="s">
        <v>22</v>
      </c>
      <c r="I41" s="79" t="str">
        <f t="shared" si="4"/>
        <v>12-2024</v>
      </c>
      <c r="J41" s="86" t="str">
        <f>(YEAR(F41)&amp;TEXT(Table1[[#This Row],[Week]],"00"))</f>
        <v>202449</v>
      </c>
      <c r="K41" s="79" t="str">
        <f>_xlfn.TEXTJOIN("-",TRUE,Table1[[#This Row],[Client]],Table1[[#This Row],[Budget ID]],Table1[[#This Row],[Ressource
'[Initials']]])</f>
        <v>Labflex-230003-MS</v>
      </c>
      <c r="L41" s="19" t="s">
        <v>166</v>
      </c>
      <c r="M41" s="22"/>
      <c r="N41" s="22"/>
      <c r="O41" s="23">
        <v>0.5</v>
      </c>
      <c r="P41" s="117" cm="1">
        <f t="array" ref="P41">_xlfn.XLOOKUP(Table1[[#This Row],[UID
'[Helper']]],Table2[[#All],[UID
'[Helper']]],Table2[[#All],[Rate
DKK]],"Not found :(",0,1)</f>
        <v>825</v>
      </c>
      <c r="Q41" s="117">
        <f t="shared" si="5"/>
        <v>412.5</v>
      </c>
      <c r="R41" s="118"/>
      <c r="S41" s="118"/>
    </row>
    <row r="42" spans="1:19" ht="13.5">
      <c r="A42" s="18" t="s">
        <v>14</v>
      </c>
      <c r="B42" s="18" t="s">
        <v>24</v>
      </c>
      <c r="C42" s="19" t="s">
        <v>71</v>
      </c>
      <c r="D42" s="49">
        <v>230003</v>
      </c>
      <c r="E42" s="18" t="s">
        <v>37</v>
      </c>
      <c r="F42" s="64">
        <v>45629</v>
      </c>
      <c r="G42" s="21">
        <f t="shared" si="6"/>
        <v>49</v>
      </c>
      <c r="H42" s="21" t="s">
        <v>22</v>
      </c>
      <c r="I42" s="79" t="str">
        <f t="shared" si="4"/>
        <v>12-2024</v>
      </c>
      <c r="J42" s="86" t="str">
        <f>(YEAR(F42)&amp;TEXT(Table1[[#This Row],[Week]],"00"))</f>
        <v>202449</v>
      </c>
      <c r="K42" s="79" t="str">
        <f>_xlfn.TEXTJOIN("-",TRUE,Table1[[#This Row],[Client]],Table1[[#This Row],[Budget ID]],Table1[[#This Row],[Ressource
'[Initials']]])</f>
        <v>Labflex-230003-MS</v>
      </c>
      <c r="L42" s="19" t="s">
        <v>166</v>
      </c>
      <c r="M42" s="22"/>
      <c r="N42" s="22"/>
      <c r="O42" s="23">
        <v>0.5</v>
      </c>
      <c r="P42" s="117" cm="1">
        <f t="array" ref="P42">_xlfn.XLOOKUP(Table1[[#This Row],[UID
'[Helper']]],Table2[[#All],[UID
'[Helper']]],Table2[[#All],[Rate
DKK]],"Not found :(",0,1)</f>
        <v>825</v>
      </c>
      <c r="Q42" s="117">
        <f t="shared" si="5"/>
        <v>412.5</v>
      </c>
      <c r="R42" s="118"/>
      <c r="S42" s="118"/>
    </row>
    <row r="43" spans="1:19" ht="13.5">
      <c r="A43" s="18" t="s">
        <v>143</v>
      </c>
      <c r="B43" s="18" t="s">
        <v>144</v>
      </c>
      <c r="C43" s="19"/>
      <c r="D43" s="49">
        <v>240018</v>
      </c>
      <c r="E43" s="18" t="s">
        <v>79</v>
      </c>
      <c r="F43" s="20">
        <v>45629</v>
      </c>
      <c r="G43" s="21">
        <f t="shared" si="6"/>
        <v>49</v>
      </c>
      <c r="H43" s="21" t="s">
        <v>152</v>
      </c>
      <c r="I43" s="79" t="str">
        <f t="shared" si="4"/>
        <v>12-2024</v>
      </c>
      <c r="J43" s="86" t="str">
        <f>(YEAR(F43)&amp;TEXT(Table1[[#This Row],[Week]],"00"))</f>
        <v>202449</v>
      </c>
      <c r="K43" s="79" t="str">
        <f>_xlfn.TEXTJOIN("-",TRUE,Table1[[#This Row],[Client]],Table1[[#This Row],[Budget ID]],Table1[[#This Row],[Ressource
'[Initials']]])</f>
        <v>CCRM-240018-BIM Mgnt.</v>
      </c>
      <c r="L43" s="19" t="s">
        <v>204</v>
      </c>
      <c r="M43" s="22"/>
      <c r="N43" s="22"/>
      <c r="O43" s="23">
        <v>0.5</v>
      </c>
      <c r="P43" s="117" cm="1">
        <f t="array" ref="P43">_xlfn.XLOOKUP(Table1[[#This Row],[UID
'[Helper']]],Table2[[#All],[UID
'[Helper']]],Table2[[#All],[Rate
DKK]],"Not found :(",0,1)</f>
        <v>900</v>
      </c>
      <c r="Q43" s="117">
        <f t="shared" si="5"/>
        <v>450</v>
      </c>
      <c r="R43" s="118"/>
      <c r="S43" s="118"/>
    </row>
    <row r="44" spans="1:19" ht="13.5">
      <c r="A44" s="73" t="s">
        <v>92</v>
      </c>
      <c r="B44" s="75" t="s">
        <v>150</v>
      </c>
      <c r="C44" s="77"/>
      <c r="D44" s="71">
        <v>240020</v>
      </c>
      <c r="E44" s="75" t="s">
        <v>46</v>
      </c>
      <c r="F44" s="60">
        <v>45630</v>
      </c>
      <c r="G44" s="61">
        <f t="shared" si="6"/>
        <v>49</v>
      </c>
      <c r="H44" s="61" t="s">
        <v>54</v>
      </c>
      <c r="I44" s="79" t="str">
        <f t="shared" si="4"/>
        <v>12-2024</v>
      </c>
      <c r="J44" s="86" t="str">
        <f>(YEAR(F44)&amp;TEXT(Table1[[#This Row],[Week]],"00"))</f>
        <v>202449</v>
      </c>
      <c r="K44" s="79" t="str">
        <f>_xlfn.TEXTJOIN("-",TRUE,Table1[[#This Row],[Client]],Table1[[#This Row],[Budget ID]],Table1[[#This Row],[Ressource
'[Initials']]])</f>
        <v>Novo Nordisk-240020-ML</v>
      </c>
      <c r="L44" s="19" t="s">
        <v>176</v>
      </c>
      <c r="M44" s="22"/>
      <c r="N44" s="22"/>
      <c r="O44" s="23">
        <v>1.5</v>
      </c>
      <c r="P44" s="117" cm="1">
        <f t="array" ref="P44">_xlfn.XLOOKUP(Table1[[#This Row],[UID
'[Helper']]],Table2[[#All],[UID
'[Helper']]],Table2[[#All],[Rate
DKK]],"Not found :(",0,1)</f>
        <v>900</v>
      </c>
      <c r="Q44" s="117">
        <f t="shared" si="5"/>
        <v>1350</v>
      </c>
      <c r="R44" s="118"/>
      <c r="S44" s="118"/>
    </row>
    <row r="45" spans="1:19" ht="27">
      <c r="A45" s="66" t="s">
        <v>92</v>
      </c>
      <c r="B45" s="66" t="s">
        <v>139</v>
      </c>
      <c r="C45" s="67" t="s">
        <v>43</v>
      </c>
      <c r="D45" s="49" t="s">
        <v>149</v>
      </c>
      <c r="E45" s="66" t="s">
        <v>46</v>
      </c>
      <c r="F45" s="68">
        <v>45630</v>
      </c>
      <c r="G45" s="69">
        <f t="shared" si="6"/>
        <v>49</v>
      </c>
      <c r="H45" s="69" t="s">
        <v>54</v>
      </c>
      <c r="I45" s="79" t="str">
        <f t="shared" si="4"/>
        <v>12-2024</v>
      </c>
      <c r="J45" s="86" t="str">
        <f>(YEAR(F45)&amp;TEXT(Table1[[#This Row],[Week]],"00"))</f>
        <v>202449</v>
      </c>
      <c r="K45" s="79" t="str">
        <f>_xlfn.TEXTJOIN("-",TRUE,Table1[[#This Row],[Client]],Table1[[#This Row],[Budget ID]],Table1[[#This Row],[Ressource
'[Initials']]])</f>
        <v>Novo Nordisk-240017-1-ML</v>
      </c>
      <c r="L45" s="19" t="s">
        <v>169</v>
      </c>
      <c r="M45" s="22"/>
      <c r="N45" s="22"/>
      <c r="O45" s="23">
        <v>6</v>
      </c>
      <c r="P45" s="117" cm="1">
        <f t="array" ref="P45">_xlfn.XLOOKUP(Table1[[#This Row],[UID
'[Helper']]],Table2[[#All],[UID
'[Helper']]],Table2[[#All],[Rate
DKK]],"Not found :(",0,1)</f>
        <v>900</v>
      </c>
      <c r="Q45" s="117">
        <f t="shared" si="5"/>
        <v>5400</v>
      </c>
      <c r="R45" s="118"/>
      <c r="S45" s="118"/>
    </row>
    <row r="46" spans="1:19" ht="13.5">
      <c r="A46" s="66" t="s">
        <v>92</v>
      </c>
      <c r="B46" s="66" t="s">
        <v>139</v>
      </c>
      <c r="C46" s="67" t="s">
        <v>43</v>
      </c>
      <c r="D46" s="49" t="s">
        <v>149</v>
      </c>
      <c r="E46" s="66" t="s">
        <v>46</v>
      </c>
      <c r="F46" s="64">
        <v>45630</v>
      </c>
      <c r="G46" s="69">
        <f t="shared" si="6"/>
        <v>49</v>
      </c>
      <c r="H46" s="69" t="s">
        <v>20</v>
      </c>
      <c r="I46" s="79" t="str">
        <f t="shared" si="4"/>
        <v>12-2024</v>
      </c>
      <c r="J46" s="86" t="str">
        <f>(YEAR(F46)&amp;TEXT(Table1[[#This Row],[Week]],"00"))</f>
        <v>202449</v>
      </c>
      <c r="K46" s="79" t="str">
        <f>_xlfn.TEXTJOIN("-",TRUE,Table1[[#This Row],[Client]],Table1[[#This Row],[Budget ID]],Table1[[#This Row],[Ressource
'[Initials']]])</f>
        <v>Novo Nordisk-240017-1-DS</v>
      </c>
      <c r="L46" s="19" t="s">
        <v>172</v>
      </c>
      <c r="M46" s="22"/>
      <c r="N46" s="22"/>
      <c r="O46" s="23">
        <v>2.5</v>
      </c>
      <c r="P46" s="117" cm="1">
        <f t="array" ref="P46">_xlfn.XLOOKUP(Table1[[#This Row],[UID
'[Helper']]],Table2[[#All],[UID
'[Helper']]],Table2[[#All],[Rate
DKK]],"Not found :(",0,1)</f>
        <v>900</v>
      </c>
      <c r="Q46" s="117">
        <f t="shared" si="5"/>
        <v>2250</v>
      </c>
      <c r="R46" s="118"/>
      <c r="S46" s="118"/>
    </row>
    <row r="47" spans="1:19" ht="27">
      <c r="A47" s="42" t="s">
        <v>17</v>
      </c>
      <c r="B47" s="43" t="s">
        <v>95</v>
      </c>
      <c r="C47" s="44" t="s">
        <v>158</v>
      </c>
      <c r="D47" s="71" t="s">
        <v>146</v>
      </c>
      <c r="E47" s="43" t="s">
        <v>46</v>
      </c>
      <c r="F47" s="64">
        <v>45630</v>
      </c>
      <c r="G47" s="21">
        <f t="shared" si="6"/>
        <v>49</v>
      </c>
      <c r="H47" s="21" t="s">
        <v>20</v>
      </c>
      <c r="I47" s="79" t="str">
        <f t="shared" si="4"/>
        <v>12-2024</v>
      </c>
      <c r="J47" s="86" t="str">
        <f>(YEAR(F47)&amp;TEXT(Table1[[#This Row],[Week]],"00"))</f>
        <v>202449</v>
      </c>
      <c r="K47" s="79" t="str">
        <f>_xlfn.TEXTJOIN("-",TRUE,Table1[[#This Row],[Client]],Table1[[#This Row],[Budget ID]],Table1[[#This Row],[Ressource
'[Initials']]])</f>
        <v>RH Arkitekter-240005-1-DS</v>
      </c>
      <c r="L47" s="19" t="s">
        <v>173</v>
      </c>
      <c r="M47" s="22"/>
      <c r="N47" s="22"/>
      <c r="O47" s="23">
        <v>4</v>
      </c>
      <c r="P47" s="117" cm="1">
        <f t="array" ref="P47">_xlfn.XLOOKUP(Table1[[#This Row],[UID
'[Helper']]],Table2[[#All],[UID
'[Helper']]],Table2[[#All],[Rate
DKK]],"Not found :(",0,1)</f>
        <v>900</v>
      </c>
      <c r="Q47" s="117">
        <f t="shared" si="5"/>
        <v>3600</v>
      </c>
      <c r="R47" s="118"/>
      <c r="S47" s="118"/>
    </row>
    <row r="48" spans="1:19" ht="13.5">
      <c r="A48" s="18" t="s">
        <v>92</v>
      </c>
      <c r="B48" s="18" t="s">
        <v>139</v>
      </c>
      <c r="C48" s="19" t="s">
        <v>43</v>
      </c>
      <c r="D48" s="49" t="s">
        <v>149</v>
      </c>
      <c r="E48" s="18" t="s">
        <v>46</v>
      </c>
      <c r="F48" s="64">
        <v>45630</v>
      </c>
      <c r="G48" s="21">
        <f t="shared" si="6"/>
        <v>49</v>
      </c>
      <c r="H48" s="21" t="s">
        <v>22</v>
      </c>
      <c r="I48" s="79" t="str">
        <f t="shared" si="4"/>
        <v>12-2024</v>
      </c>
      <c r="J48" s="86" t="str">
        <f>(YEAR(F48)&amp;TEXT(Table1[[#This Row],[Week]],"00"))</f>
        <v>202449</v>
      </c>
      <c r="K48" s="79" t="str">
        <f>_xlfn.TEXTJOIN("-",TRUE,Table1[[#This Row],[Client]],Table1[[#This Row],[Budget ID]],Table1[[#This Row],[Ressource
'[Initials']]])</f>
        <v>Novo Nordisk-240017-1-MS</v>
      </c>
      <c r="L48" s="19" t="s">
        <v>177</v>
      </c>
      <c r="M48" s="22"/>
      <c r="N48" s="22"/>
      <c r="O48" s="23">
        <v>2</v>
      </c>
      <c r="P48" s="117" cm="1">
        <f t="array" ref="P48">_xlfn.XLOOKUP(Table1[[#This Row],[UID
'[Helper']]],Table2[[#All],[UID
'[Helper']]],Table2[[#All],[Rate
DKK]],"Not found :(",0,1)</f>
        <v>900</v>
      </c>
      <c r="Q48" s="117">
        <f t="shared" si="5"/>
        <v>1800</v>
      </c>
      <c r="R48" s="118"/>
      <c r="S48" s="118"/>
    </row>
    <row r="49" spans="1:19" ht="40.5">
      <c r="A49" s="18" t="s">
        <v>17</v>
      </c>
      <c r="B49" s="18" t="s">
        <v>95</v>
      </c>
      <c r="C49" s="19" t="s">
        <v>158</v>
      </c>
      <c r="D49" s="49" t="s">
        <v>146</v>
      </c>
      <c r="E49" s="18" t="s">
        <v>46</v>
      </c>
      <c r="F49" s="64">
        <v>45630</v>
      </c>
      <c r="G49" s="21">
        <f t="shared" si="6"/>
        <v>49</v>
      </c>
      <c r="H49" s="21" t="s">
        <v>22</v>
      </c>
      <c r="I49" s="79" t="str">
        <f t="shared" si="4"/>
        <v>12-2024</v>
      </c>
      <c r="J49" s="86" t="str">
        <f>(YEAR(F49)&amp;TEXT(Table1[[#This Row],[Week]],"00"))</f>
        <v>202449</v>
      </c>
      <c r="K49" s="79" t="str">
        <f>_xlfn.TEXTJOIN("-",TRUE,Table1[[#This Row],[Client]],Table1[[#This Row],[Budget ID]],Table1[[#This Row],[Ressource
'[Initials']]])</f>
        <v>RH Arkitekter-240005-1-MS</v>
      </c>
      <c r="L49" s="19" t="s">
        <v>178</v>
      </c>
      <c r="M49" s="22"/>
      <c r="N49" s="22"/>
      <c r="O49" s="23">
        <v>2.5</v>
      </c>
      <c r="P49" s="117" cm="1">
        <f t="array" ref="P49">_xlfn.XLOOKUP(Table1[[#This Row],[UID
'[Helper']]],Table2[[#All],[UID
'[Helper']]],Table2[[#All],[Rate
DKK]],"Not found :(",0,1)</f>
        <v>900</v>
      </c>
      <c r="Q49" s="117">
        <f t="shared" si="5"/>
        <v>2250</v>
      </c>
      <c r="R49" s="118"/>
      <c r="S49" s="118"/>
    </row>
    <row r="50" spans="1:19" ht="13.5">
      <c r="A50" s="39" t="s">
        <v>143</v>
      </c>
      <c r="B50" s="36" t="s">
        <v>144</v>
      </c>
      <c r="C50" s="37"/>
      <c r="D50" s="70">
        <v>240018</v>
      </c>
      <c r="E50" s="36" t="s">
        <v>79</v>
      </c>
      <c r="F50" s="64">
        <v>45630</v>
      </c>
      <c r="G50" s="38">
        <f t="shared" si="6"/>
        <v>49</v>
      </c>
      <c r="H50" s="38" t="s">
        <v>22</v>
      </c>
      <c r="I50" s="79" t="str">
        <f t="shared" si="4"/>
        <v>12-2024</v>
      </c>
      <c r="J50" s="86" t="str">
        <f>(YEAR(F50)&amp;TEXT(Table1[[#This Row],[Week]],"00"))</f>
        <v>202449</v>
      </c>
      <c r="K50" s="79" t="str">
        <f>_xlfn.TEXTJOIN("-",TRUE,Table1[[#This Row],[Client]],Table1[[#This Row],[Budget ID]],Table1[[#This Row],[Ressource
'[Initials']]])</f>
        <v>CCRM-240018-MS</v>
      </c>
      <c r="L50" s="19" t="s">
        <v>179</v>
      </c>
      <c r="M50" s="22"/>
      <c r="N50" s="22"/>
      <c r="O50" s="23">
        <v>1.5</v>
      </c>
      <c r="P50" s="117" cm="1">
        <f t="array" ref="P50">_xlfn.XLOOKUP(Table1[[#This Row],[UID
'[Helper']]],Table2[[#All],[UID
'[Helper']]],Table2[[#All],[Rate
DKK]],"Not found :(",0,1)</f>
        <v>900</v>
      </c>
      <c r="Q50" s="117">
        <f t="shared" si="5"/>
        <v>1350</v>
      </c>
      <c r="R50" s="118"/>
      <c r="S50" s="118"/>
    </row>
    <row r="51" spans="1:19" ht="13.5">
      <c r="A51" s="42" t="s">
        <v>14</v>
      </c>
      <c r="B51" s="43" t="s">
        <v>24</v>
      </c>
      <c r="C51" s="44" t="s">
        <v>72</v>
      </c>
      <c r="D51" s="71">
        <v>230003</v>
      </c>
      <c r="E51" s="43" t="s">
        <v>73</v>
      </c>
      <c r="F51" s="20">
        <v>45630</v>
      </c>
      <c r="G51" s="45">
        <f t="shared" si="6"/>
        <v>49</v>
      </c>
      <c r="H51" s="45" t="s">
        <v>22</v>
      </c>
      <c r="I51" s="79" t="str">
        <f t="shared" si="4"/>
        <v>12-2024</v>
      </c>
      <c r="J51" s="86" t="str">
        <f>(YEAR(F51)&amp;TEXT(Table1[[#This Row],[Week]],"00"))</f>
        <v>202449</v>
      </c>
      <c r="K51" s="79" t="str">
        <f>_xlfn.TEXTJOIN("-",TRUE,Table1[[#This Row],[Client]],Table1[[#This Row],[Budget ID]],Table1[[#This Row],[Ressource
'[Initials']]])</f>
        <v>Labflex-230003-MS</v>
      </c>
      <c r="L51" s="19" t="s">
        <v>175</v>
      </c>
      <c r="M51" s="22"/>
      <c r="N51" s="22"/>
      <c r="O51" s="23">
        <v>0.5</v>
      </c>
      <c r="P51" s="117" cm="1">
        <f t="array" ref="P51">_xlfn.XLOOKUP(Table1[[#This Row],[UID
'[Helper']]],Table2[[#All],[UID
'[Helper']]],Table2[[#All],[Rate
DKK]],"Not found :(",0,1)</f>
        <v>825</v>
      </c>
      <c r="Q51" s="117">
        <f t="shared" si="5"/>
        <v>412.5</v>
      </c>
      <c r="R51" s="118"/>
      <c r="S51" s="118"/>
    </row>
    <row r="52" spans="1:19" ht="13.5">
      <c r="A52" s="18" t="s">
        <v>14</v>
      </c>
      <c r="B52" s="18" t="s">
        <v>24</v>
      </c>
      <c r="C52" s="19" t="s">
        <v>71</v>
      </c>
      <c r="D52" s="49">
        <v>230003</v>
      </c>
      <c r="E52" s="18" t="s">
        <v>73</v>
      </c>
      <c r="F52" s="20">
        <v>45630</v>
      </c>
      <c r="G52" s="21">
        <f t="shared" si="6"/>
        <v>49</v>
      </c>
      <c r="H52" s="21" t="s">
        <v>22</v>
      </c>
      <c r="I52" s="79" t="str">
        <f t="shared" si="4"/>
        <v>12-2024</v>
      </c>
      <c r="J52" s="86" t="str">
        <f>(YEAR(F52)&amp;TEXT(Table1[[#This Row],[Week]],"00"))</f>
        <v>202449</v>
      </c>
      <c r="K52" s="79" t="str">
        <f>_xlfn.TEXTJOIN("-",TRUE,Table1[[#This Row],[Client]],Table1[[#This Row],[Budget ID]],Table1[[#This Row],[Ressource
'[Initials']]])</f>
        <v>Labflex-230003-MS</v>
      </c>
      <c r="L52" s="19" t="s">
        <v>175</v>
      </c>
      <c r="M52" s="22"/>
      <c r="N52" s="22"/>
      <c r="O52" s="23">
        <v>0.5</v>
      </c>
      <c r="P52" s="117" cm="1">
        <f t="array" ref="P52">_xlfn.XLOOKUP(Table1[[#This Row],[UID
'[Helper']]],Table2[[#All],[UID
'[Helper']]],Table2[[#All],[Rate
DKK]],"Not found :(",0,1)</f>
        <v>825</v>
      </c>
      <c r="Q52" s="117">
        <f t="shared" si="5"/>
        <v>412.5</v>
      </c>
      <c r="R52" s="118"/>
      <c r="S52" s="118"/>
    </row>
    <row r="53" spans="1:19" ht="13.5">
      <c r="A53" s="66" t="s">
        <v>107</v>
      </c>
      <c r="B53" s="66" t="s">
        <v>154</v>
      </c>
      <c r="C53" s="67"/>
      <c r="D53" s="49">
        <v>240022</v>
      </c>
      <c r="E53" s="66" t="s">
        <v>37</v>
      </c>
      <c r="F53" s="68">
        <v>45630</v>
      </c>
      <c r="G53" s="69">
        <f t="shared" si="6"/>
        <v>49</v>
      </c>
      <c r="H53" s="69" t="s">
        <v>54</v>
      </c>
      <c r="I53" s="79" t="str">
        <f t="shared" si="4"/>
        <v>12-2024</v>
      </c>
      <c r="J53" s="86" t="str">
        <f>(YEAR(F53)&amp;TEXT(Table1[[#This Row],[Week]],"00"))</f>
        <v>202449</v>
      </c>
      <c r="K53" s="79" t="str">
        <f>_xlfn.TEXTJOIN("-",TRUE,Table1[[#This Row],[Client]],Table1[[#This Row],[Budget ID]],Table1[[#This Row],[Ressource
'[Initials']]])</f>
        <v>Zystm-240022-ML</v>
      </c>
      <c r="L53" s="19" t="s">
        <v>167</v>
      </c>
      <c r="M53" s="22"/>
      <c r="N53" s="22"/>
      <c r="O53" s="23">
        <v>2</v>
      </c>
      <c r="P53" s="117" cm="1">
        <f t="array" ref="P53">_xlfn.XLOOKUP(Table1[[#This Row],[UID
'[Helper']]],Table2[[#All],[UID
'[Helper']]],Table2[[#All],[Rate
DKK]],"Not found :(",0,1)</f>
        <v>850</v>
      </c>
      <c r="Q53" s="117">
        <f t="shared" si="5"/>
        <v>1700</v>
      </c>
      <c r="R53" s="118"/>
      <c r="S53" s="118"/>
    </row>
    <row r="54" spans="1:19" ht="13.5">
      <c r="A54" s="62" t="s">
        <v>107</v>
      </c>
      <c r="B54" s="62" t="s">
        <v>155</v>
      </c>
      <c r="C54" s="63"/>
      <c r="D54" s="49">
        <v>240023</v>
      </c>
      <c r="E54" s="62" t="s">
        <v>37</v>
      </c>
      <c r="F54" s="64">
        <v>45630</v>
      </c>
      <c r="G54" s="65">
        <f t="shared" si="6"/>
        <v>49</v>
      </c>
      <c r="H54" s="65" t="s">
        <v>54</v>
      </c>
      <c r="I54" s="79" t="str">
        <f t="shared" si="4"/>
        <v>12-2024</v>
      </c>
      <c r="J54" s="86" t="str">
        <f>(YEAR(F54)&amp;TEXT(Table1[[#This Row],[Week]],"00"))</f>
        <v>202449</v>
      </c>
      <c r="K54" s="79" t="str">
        <f>_xlfn.TEXTJOIN("-",TRUE,Table1[[#This Row],[Client]],Table1[[#This Row],[Budget ID]],Table1[[#This Row],[Ressource
'[Initials']]])</f>
        <v>Zystm-240023-ML</v>
      </c>
      <c r="L54" s="19" t="s">
        <v>168</v>
      </c>
      <c r="M54" s="22"/>
      <c r="N54" s="22"/>
      <c r="O54" s="23">
        <v>1</v>
      </c>
      <c r="P54" s="117" cm="1">
        <f t="array" ref="P54">_xlfn.XLOOKUP(Table1[[#This Row],[UID
'[Helper']]],Table2[[#All],[UID
'[Helper']]],Table2[[#All],[Rate
DKK]],"Not found :(",0,1)</f>
        <v>850</v>
      </c>
      <c r="Q54" s="117">
        <f t="shared" si="5"/>
        <v>850</v>
      </c>
      <c r="R54" s="118"/>
      <c r="S54" s="118"/>
    </row>
    <row r="55" spans="1:19" ht="13.5">
      <c r="A55" s="18" t="s">
        <v>14</v>
      </c>
      <c r="B55" s="18" t="s">
        <v>24</v>
      </c>
      <c r="C55" s="19" t="s">
        <v>72</v>
      </c>
      <c r="D55" s="49">
        <v>230003</v>
      </c>
      <c r="E55" s="18" t="s">
        <v>37</v>
      </c>
      <c r="F55" s="64">
        <v>45630</v>
      </c>
      <c r="G55" s="21">
        <f t="shared" si="6"/>
        <v>49</v>
      </c>
      <c r="H55" s="21" t="s">
        <v>22</v>
      </c>
      <c r="I55" s="79" t="str">
        <f t="shared" si="4"/>
        <v>12-2024</v>
      </c>
      <c r="J55" s="86" t="str">
        <f>(YEAR(F55)&amp;TEXT(Table1[[#This Row],[Week]],"00"))</f>
        <v>202449</v>
      </c>
      <c r="K55" s="79" t="str">
        <f>_xlfn.TEXTJOIN("-",TRUE,Table1[[#This Row],[Client]],Table1[[#This Row],[Budget ID]],Table1[[#This Row],[Ressource
'[Initials']]])</f>
        <v>Labflex-230003-MS</v>
      </c>
      <c r="L55" s="19" t="s">
        <v>174</v>
      </c>
      <c r="M55" s="22"/>
      <c r="N55" s="22"/>
      <c r="O55" s="23">
        <v>2</v>
      </c>
      <c r="P55" s="117" cm="1">
        <f t="array" ref="P55">_xlfn.XLOOKUP(Table1[[#This Row],[UID
'[Helper']]],Table2[[#All],[UID
'[Helper']]],Table2[[#All],[Rate
DKK]],"Not found :(",0,1)</f>
        <v>825</v>
      </c>
      <c r="Q55" s="117">
        <f t="shared" si="5"/>
        <v>1650</v>
      </c>
      <c r="R55" s="118"/>
      <c r="S55" s="118"/>
    </row>
    <row r="56" spans="1:19" ht="13.5">
      <c r="A56" s="18" t="s">
        <v>14</v>
      </c>
      <c r="B56" s="18" t="s">
        <v>24</v>
      </c>
      <c r="C56" s="19" t="s">
        <v>71</v>
      </c>
      <c r="D56" s="49">
        <v>230003</v>
      </c>
      <c r="E56" s="18" t="s">
        <v>37</v>
      </c>
      <c r="F56" s="64">
        <v>45630</v>
      </c>
      <c r="G56" s="21">
        <f t="shared" si="6"/>
        <v>49</v>
      </c>
      <c r="H56" s="21" t="s">
        <v>22</v>
      </c>
      <c r="I56" s="79" t="str">
        <f t="shared" si="4"/>
        <v>12-2024</v>
      </c>
      <c r="J56" s="86" t="str">
        <f>(YEAR(F56)&amp;TEXT(Table1[[#This Row],[Week]],"00"))</f>
        <v>202449</v>
      </c>
      <c r="K56" s="79" t="str">
        <f>_xlfn.TEXTJOIN("-",TRUE,Table1[[#This Row],[Client]],Table1[[#This Row],[Budget ID]],Table1[[#This Row],[Ressource
'[Initials']]])</f>
        <v>Labflex-230003-MS</v>
      </c>
      <c r="L56" s="19" t="s">
        <v>174</v>
      </c>
      <c r="M56" s="22"/>
      <c r="N56" s="22"/>
      <c r="O56" s="23">
        <v>2</v>
      </c>
      <c r="P56" s="117" cm="1">
        <f t="array" ref="P56">_xlfn.XLOOKUP(Table1[[#This Row],[UID
'[Helper']]],Table2[[#All],[UID
'[Helper']]],Table2[[#All],[Rate
DKK]],"Not found :(",0,1)</f>
        <v>825</v>
      </c>
      <c r="Q56" s="117">
        <f t="shared" si="5"/>
        <v>1650</v>
      </c>
      <c r="R56" s="118"/>
      <c r="S56" s="118"/>
    </row>
    <row r="57" spans="1:19" ht="13.5">
      <c r="A57" s="18" t="s">
        <v>140</v>
      </c>
      <c r="B57" s="18" t="s">
        <v>141</v>
      </c>
      <c r="C57" s="19" t="s">
        <v>142</v>
      </c>
      <c r="D57" s="49">
        <v>240016</v>
      </c>
      <c r="E57" s="18" t="s">
        <v>142</v>
      </c>
      <c r="F57" s="20">
        <v>45631</v>
      </c>
      <c r="G57" s="21">
        <f t="shared" si="6"/>
        <v>49</v>
      </c>
      <c r="H57" s="21" t="s">
        <v>22</v>
      </c>
      <c r="I57" s="79" t="str">
        <f t="shared" si="4"/>
        <v>12-2024</v>
      </c>
      <c r="J57" s="86" t="str">
        <f>(YEAR(F57)&amp;TEXT(Table1[[#This Row],[Week]],"00"))</f>
        <v>202449</v>
      </c>
      <c r="K57" s="79" t="str">
        <f>_xlfn.TEXTJOIN("-",TRUE,Table1[[#This Row],[Client]],Table1[[#This Row],[Budget ID]],Table1[[#This Row],[Ressource
'[Initials']]])</f>
        <v>AFRY-240016-MS</v>
      </c>
      <c r="L57" s="19" t="s">
        <v>182</v>
      </c>
      <c r="M57" s="22"/>
      <c r="N57" s="22"/>
      <c r="O57" s="23">
        <v>4</v>
      </c>
      <c r="P57" s="117" cm="1">
        <f t="array" ref="P57">_xlfn.XLOOKUP(Table1[[#This Row],[UID
'[Helper']]],Table2[[#All],[UID
'[Helper']]],Table2[[#All],[Rate
DKK]],"Not found :(",0,1)</f>
        <v>0</v>
      </c>
      <c r="Q57" s="117">
        <f t="shared" si="5"/>
        <v>0</v>
      </c>
      <c r="R57" s="118"/>
      <c r="S57" s="118"/>
    </row>
    <row r="58" spans="1:19" ht="13.5">
      <c r="A58" s="66" t="s">
        <v>92</v>
      </c>
      <c r="B58" s="66" t="s">
        <v>139</v>
      </c>
      <c r="C58" s="67" t="s">
        <v>43</v>
      </c>
      <c r="D58" s="49" t="s">
        <v>149</v>
      </c>
      <c r="E58" s="66" t="s">
        <v>46</v>
      </c>
      <c r="F58" s="68">
        <v>45631</v>
      </c>
      <c r="G58" s="69">
        <f t="shared" si="6"/>
        <v>49</v>
      </c>
      <c r="H58" s="69" t="s">
        <v>54</v>
      </c>
      <c r="I58" s="79" t="str">
        <f t="shared" si="4"/>
        <v>12-2024</v>
      </c>
      <c r="J58" s="86" t="str">
        <f>(YEAR(F58)&amp;TEXT(Table1[[#This Row],[Week]],"00"))</f>
        <v>202449</v>
      </c>
      <c r="K58" s="79" t="str">
        <f>_xlfn.TEXTJOIN("-",TRUE,Table1[[#This Row],[Client]],Table1[[#This Row],[Budget ID]],Table1[[#This Row],[Ressource
'[Initials']]])</f>
        <v>Novo Nordisk-240017-1-ML</v>
      </c>
      <c r="L58" s="19" t="s">
        <v>180</v>
      </c>
      <c r="M58" s="22"/>
      <c r="N58" s="22"/>
      <c r="O58" s="23">
        <v>2.5</v>
      </c>
      <c r="P58" s="117" cm="1">
        <f t="array" ref="P58">_xlfn.XLOOKUP(Table1[[#This Row],[UID
'[Helper']]],Table2[[#All],[UID
'[Helper']]],Table2[[#All],[Rate
DKK]],"Not found :(",0,1)</f>
        <v>900</v>
      </c>
      <c r="Q58" s="117">
        <f t="shared" si="5"/>
        <v>2250</v>
      </c>
      <c r="R58" s="118"/>
      <c r="S58" s="118"/>
    </row>
    <row r="59" spans="1:19" ht="13.5">
      <c r="A59" s="18" t="s">
        <v>92</v>
      </c>
      <c r="B59" s="18" t="s">
        <v>139</v>
      </c>
      <c r="C59" s="19" t="s">
        <v>43</v>
      </c>
      <c r="D59" s="49" t="s">
        <v>149</v>
      </c>
      <c r="E59" s="18" t="s">
        <v>46</v>
      </c>
      <c r="F59" s="20">
        <v>45631</v>
      </c>
      <c r="G59" s="21">
        <f t="shared" si="6"/>
        <v>49</v>
      </c>
      <c r="H59" s="21" t="s">
        <v>22</v>
      </c>
      <c r="I59" s="79" t="str">
        <f t="shared" si="4"/>
        <v>12-2024</v>
      </c>
      <c r="J59" s="86" t="str">
        <f>(YEAR(F59)&amp;TEXT(Table1[[#This Row],[Week]],"00"))</f>
        <v>202449</v>
      </c>
      <c r="K59" s="79" t="str">
        <f>_xlfn.TEXTJOIN("-",TRUE,Table1[[#This Row],[Client]],Table1[[#This Row],[Budget ID]],Table1[[#This Row],[Ressource
'[Initials']]])</f>
        <v>Novo Nordisk-240017-1-MS</v>
      </c>
      <c r="L59" s="19" t="s">
        <v>183</v>
      </c>
      <c r="M59" s="22"/>
      <c r="N59" s="22"/>
      <c r="O59" s="23">
        <v>1</v>
      </c>
      <c r="P59" s="117" cm="1">
        <f t="array" ref="P59">_xlfn.XLOOKUP(Table1[[#This Row],[UID
'[Helper']]],Table2[[#All],[UID
'[Helper']]],Table2[[#All],[Rate
DKK]],"Not found :(",0,1)</f>
        <v>900</v>
      </c>
      <c r="Q59" s="117">
        <f t="shared" si="5"/>
        <v>900</v>
      </c>
      <c r="R59" s="118"/>
      <c r="S59" s="118"/>
    </row>
    <row r="60" spans="1:19" ht="27">
      <c r="A60" s="18" t="s">
        <v>17</v>
      </c>
      <c r="B60" s="18" t="s">
        <v>95</v>
      </c>
      <c r="C60" s="19" t="s">
        <v>158</v>
      </c>
      <c r="D60" s="49" t="s">
        <v>146</v>
      </c>
      <c r="E60" s="18" t="s">
        <v>46</v>
      </c>
      <c r="F60" s="20">
        <v>45631</v>
      </c>
      <c r="G60" s="21">
        <f t="shared" si="6"/>
        <v>49</v>
      </c>
      <c r="H60" s="21" t="s">
        <v>22</v>
      </c>
      <c r="I60" s="79" t="str">
        <f t="shared" si="4"/>
        <v>12-2024</v>
      </c>
      <c r="J60" s="86" t="str">
        <f>(YEAR(F60)&amp;TEXT(Table1[[#This Row],[Week]],"00"))</f>
        <v>202449</v>
      </c>
      <c r="K60" s="79" t="str">
        <f>_xlfn.TEXTJOIN("-",TRUE,Table1[[#This Row],[Client]],Table1[[#This Row],[Budget ID]],Table1[[#This Row],[Ressource
'[Initials']]])</f>
        <v>RH Arkitekter-240005-1-MS</v>
      </c>
      <c r="L60" s="19" t="s">
        <v>186</v>
      </c>
      <c r="M60" s="22"/>
      <c r="N60" s="22"/>
      <c r="O60" s="23">
        <v>2.5</v>
      </c>
      <c r="P60" s="117" cm="1">
        <f t="array" ref="P60">_xlfn.XLOOKUP(Table1[[#This Row],[UID
'[Helper']]],Table2[[#All],[UID
'[Helper']]],Table2[[#All],[Rate
DKK]],"Not found :(",0,1)</f>
        <v>900</v>
      </c>
      <c r="Q60" s="117">
        <f t="shared" si="5"/>
        <v>2250</v>
      </c>
      <c r="R60" s="118"/>
      <c r="S60" s="118"/>
    </row>
    <row r="61" spans="1:19" ht="40.5">
      <c r="A61" s="42" t="s">
        <v>17</v>
      </c>
      <c r="B61" s="43" t="s">
        <v>95</v>
      </c>
      <c r="C61" s="44" t="s">
        <v>158</v>
      </c>
      <c r="D61" s="71" t="s">
        <v>146</v>
      </c>
      <c r="E61" s="43" t="s">
        <v>46</v>
      </c>
      <c r="F61" s="20">
        <v>45631</v>
      </c>
      <c r="G61" s="45">
        <f t="shared" si="6"/>
        <v>49</v>
      </c>
      <c r="H61" s="45" t="s">
        <v>20</v>
      </c>
      <c r="I61" s="79" t="str">
        <f t="shared" si="4"/>
        <v>12-2024</v>
      </c>
      <c r="J61" s="86" t="str">
        <f>(YEAR(F61)&amp;TEXT(Table1[[#This Row],[Week]],"00"))</f>
        <v>202449</v>
      </c>
      <c r="K61" s="79" t="str">
        <f>_xlfn.TEXTJOIN("-",TRUE,Table1[[#This Row],[Client]],Table1[[#This Row],[Budget ID]],Table1[[#This Row],[Ressource
'[Initials']]])</f>
        <v>RH Arkitekter-240005-1-DS</v>
      </c>
      <c r="L61" s="19" t="s">
        <v>189</v>
      </c>
      <c r="M61" s="22"/>
      <c r="N61" s="22"/>
      <c r="O61" s="23">
        <v>3.5</v>
      </c>
      <c r="P61" s="117" cm="1">
        <f t="array" ref="P61">_xlfn.XLOOKUP(Table1[[#This Row],[UID
'[Helper']]],Table2[[#All],[UID
'[Helper']]],Table2[[#All],[Rate
DKK]],"Not found :(",0,1)</f>
        <v>900</v>
      </c>
      <c r="Q61" s="117">
        <f t="shared" si="5"/>
        <v>3150</v>
      </c>
      <c r="R61" s="118"/>
      <c r="S61" s="118"/>
    </row>
    <row r="62" spans="1:19" ht="27">
      <c r="A62" s="18" t="s">
        <v>92</v>
      </c>
      <c r="B62" s="18" t="s">
        <v>139</v>
      </c>
      <c r="C62" s="19" t="s">
        <v>43</v>
      </c>
      <c r="D62" s="49" t="s">
        <v>149</v>
      </c>
      <c r="E62" s="18" t="s">
        <v>46</v>
      </c>
      <c r="F62" s="20">
        <v>45631</v>
      </c>
      <c r="G62" s="21">
        <f t="shared" si="6"/>
        <v>49</v>
      </c>
      <c r="H62" s="21" t="s">
        <v>20</v>
      </c>
      <c r="I62" s="79" t="str">
        <f t="shared" si="4"/>
        <v>12-2024</v>
      </c>
      <c r="J62" s="86" t="str">
        <f>(YEAR(F62)&amp;TEXT(Table1[[#This Row],[Week]],"00"))</f>
        <v>202449</v>
      </c>
      <c r="K62" s="79" t="str">
        <f>_xlfn.TEXTJOIN("-",TRUE,Table1[[#This Row],[Client]],Table1[[#This Row],[Budget ID]],Table1[[#This Row],[Ressource
'[Initials']]])</f>
        <v>Novo Nordisk-240017-1-DS</v>
      </c>
      <c r="L62" s="19" t="s">
        <v>188</v>
      </c>
      <c r="M62" s="22"/>
      <c r="N62" s="22"/>
      <c r="O62" s="23">
        <v>4</v>
      </c>
      <c r="P62" s="117" cm="1">
        <f t="array" ref="P62">_xlfn.XLOOKUP(Table1[[#This Row],[UID
'[Helper']]],Table2[[#All],[UID
'[Helper']]],Table2[[#All],[Rate
DKK]],"Not found :(",0,1)</f>
        <v>900</v>
      </c>
      <c r="Q62" s="117">
        <f t="shared" si="5"/>
        <v>3600</v>
      </c>
      <c r="R62" s="118"/>
      <c r="S62" s="118"/>
    </row>
    <row r="63" spans="1:19" ht="13.5">
      <c r="A63" s="18" t="s">
        <v>143</v>
      </c>
      <c r="B63" s="18" t="s">
        <v>144</v>
      </c>
      <c r="C63" s="19"/>
      <c r="D63" s="49">
        <v>240018</v>
      </c>
      <c r="E63" s="18" t="s">
        <v>79</v>
      </c>
      <c r="F63" s="20">
        <v>45631</v>
      </c>
      <c r="G63" s="21">
        <f t="shared" si="6"/>
        <v>49</v>
      </c>
      <c r="H63" s="21" t="s">
        <v>22</v>
      </c>
      <c r="I63" s="79" t="str">
        <f t="shared" si="4"/>
        <v>12-2024</v>
      </c>
      <c r="J63" s="86" t="str">
        <f>(YEAR(F63)&amp;TEXT(Table1[[#This Row],[Week]],"00"))</f>
        <v>202449</v>
      </c>
      <c r="K63" s="79" t="str">
        <f>_xlfn.TEXTJOIN("-",TRUE,Table1[[#This Row],[Client]],Table1[[#This Row],[Budget ID]],Table1[[#This Row],[Ressource
'[Initials']]])</f>
        <v>CCRM-240018-MS</v>
      </c>
      <c r="L63" s="19" t="s">
        <v>187</v>
      </c>
      <c r="M63" s="22"/>
      <c r="N63" s="22"/>
      <c r="O63" s="23">
        <v>0.5</v>
      </c>
      <c r="P63" s="117" cm="1">
        <f t="array" ref="P63">_xlfn.XLOOKUP(Table1[[#This Row],[UID
'[Helper']]],Table2[[#All],[UID
'[Helper']]],Table2[[#All],[Rate
DKK]],"Not found :(",0,1)</f>
        <v>900</v>
      </c>
      <c r="Q63" s="117">
        <f t="shared" si="5"/>
        <v>450</v>
      </c>
      <c r="R63" s="118"/>
      <c r="S63" s="118"/>
    </row>
    <row r="64" spans="1:19" ht="13.5">
      <c r="A64" s="18" t="s">
        <v>14</v>
      </c>
      <c r="B64" s="18" t="s">
        <v>24</v>
      </c>
      <c r="C64" s="19" t="s">
        <v>72</v>
      </c>
      <c r="D64" s="49">
        <v>230003</v>
      </c>
      <c r="E64" s="18" t="s">
        <v>73</v>
      </c>
      <c r="F64" s="20">
        <v>45631</v>
      </c>
      <c r="G64" s="21">
        <f t="shared" si="6"/>
        <v>49</v>
      </c>
      <c r="H64" s="21" t="s">
        <v>22</v>
      </c>
      <c r="I64" s="79" t="str">
        <f t="shared" si="4"/>
        <v>12-2024</v>
      </c>
      <c r="J64" s="86" t="str">
        <f>(YEAR(F64)&amp;TEXT(Table1[[#This Row],[Week]],"00"))</f>
        <v>202449</v>
      </c>
      <c r="K64" s="79" t="str">
        <f>_xlfn.TEXTJOIN("-",TRUE,Table1[[#This Row],[Client]],Table1[[#This Row],[Budget ID]],Table1[[#This Row],[Ressource
'[Initials']]])</f>
        <v>Labflex-230003-MS</v>
      </c>
      <c r="L64" s="19" t="s">
        <v>184</v>
      </c>
      <c r="M64" s="22"/>
      <c r="N64" s="22"/>
      <c r="O64" s="23">
        <v>1</v>
      </c>
      <c r="P64" s="117" cm="1">
        <f t="array" ref="P64">_xlfn.XLOOKUP(Table1[[#This Row],[UID
'[Helper']]],Table2[[#All],[UID
'[Helper']]],Table2[[#All],[Rate
DKK]],"Not found :(",0,1)</f>
        <v>825</v>
      </c>
      <c r="Q64" s="117">
        <f t="shared" si="5"/>
        <v>825</v>
      </c>
      <c r="R64" s="118"/>
      <c r="S64" s="118"/>
    </row>
    <row r="65" spans="1:19" ht="30.75" customHeight="1">
      <c r="A65" s="42" t="s">
        <v>14</v>
      </c>
      <c r="B65" s="43" t="s">
        <v>24</v>
      </c>
      <c r="C65" s="44" t="s">
        <v>71</v>
      </c>
      <c r="D65" s="71">
        <v>230003</v>
      </c>
      <c r="E65" s="43" t="s">
        <v>73</v>
      </c>
      <c r="F65" s="20">
        <v>45631</v>
      </c>
      <c r="G65" s="21">
        <f t="shared" si="6"/>
        <v>49</v>
      </c>
      <c r="H65" s="21" t="s">
        <v>22</v>
      </c>
      <c r="I65" s="79" t="str">
        <f t="shared" si="4"/>
        <v>12-2024</v>
      </c>
      <c r="J65" s="86" t="str">
        <f>(YEAR(F65)&amp;TEXT(Table1[[#This Row],[Week]],"00"))</f>
        <v>202449</v>
      </c>
      <c r="K65" s="79" t="str">
        <f>_xlfn.TEXTJOIN("-",TRUE,Table1[[#This Row],[Client]],Table1[[#This Row],[Budget ID]],Table1[[#This Row],[Ressource
'[Initials']]])</f>
        <v>Labflex-230003-MS</v>
      </c>
      <c r="L65" s="19" t="s">
        <v>184</v>
      </c>
      <c r="M65" s="22"/>
      <c r="N65" s="22"/>
      <c r="O65" s="23">
        <v>1</v>
      </c>
      <c r="P65" s="117" cm="1">
        <f t="array" ref="P65">_xlfn.XLOOKUP(Table1[[#This Row],[UID
'[Helper']]],Table2[[#All],[UID
'[Helper']]],Table2[[#All],[Rate
DKK]],"Not found :(",0,1)</f>
        <v>825</v>
      </c>
      <c r="Q65" s="117">
        <f t="shared" si="5"/>
        <v>825</v>
      </c>
      <c r="R65" s="118"/>
      <c r="S65" s="118"/>
    </row>
    <row r="66" spans="1:19" ht="27">
      <c r="A66" s="72" t="s">
        <v>107</v>
      </c>
      <c r="B66" s="74" t="s">
        <v>154</v>
      </c>
      <c r="C66" s="76"/>
      <c r="D66" s="70">
        <v>240022</v>
      </c>
      <c r="E66" s="74" t="s">
        <v>37</v>
      </c>
      <c r="F66" s="68">
        <v>45631</v>
      </c>
      <c r="G66" s="69">
        <f t="shared" si="6"/>
        <v>49</v>
      </c>
      <c r="H66" s="69" t="s">
        <v>54</v>
      </c>
      <c r="I66" s="79" t="str">
        <f t="shared" si="4"/>
        <v>12-2024</v>
      </c>
      <c r="J66" s="86" t="str">
        <f>(YEAR(F66)&amp;TEXT(Table1[[#This Row],[Week]],"00"))</f>
        <v>202449</v>
      </c>
      <c r="K66" s="79" t="str">
        <f>_xlfn.TEXTJOIN("-",TRUE,Table1[[#This Row],[Client]],Table1[[#This Row],[Budget ID]],Table1[[#This Row],[Ressource
'[Initials']]])</f>
        <v>Zystm-240022-ML</v>
      </c>
      <c r="L66" s="19" t="s">
        <v>181</v>
      </c>
      <c r="M66" s="22"/>
      <c r="N66" s="22"/>
      <c r="O66" s="23">
        <v>5.5</v>
      </c>
      <c r="P66" s="117" cm="1">
        <f t="array" ref="P66">_xlfn.XLOOKUP(Table1[[#This Row],[UID
'[Helper']]],Table2[[#All],[UID
'[Helper']]],Table2[[#All],[Rate
DKK]],"Not found :(",0,1)</f>
        <v>850</v>
      </c>
      <c r="Q66" s="117">
        <f t="shared" si="5"/>
        <v>4675</v>
      </c>
      <c r="R66" s="118"/>
      <c r="S66" s="118"/>
    </row>
    <row r="67" spans="1:19" ht="13.5">
      <c r="A67" s="39" t="s">
        <v>14</v>
      </c>
      <c r="B67" s="36" t="s">
        <v>24</v>
      </c>
      <c r="C67" s="37" t="s">
        <v>72</v>
      </c>
      <c r="D67" s="70">
        <v>230003</v>
      </c>
      <c r="E67" s="36" t="s">
        <v>37</v>
      </c>
      <c r="F67" s="20">
        <v>45631</v>
      </c>
      <c r="G67" s="21">
        <f t="shared" si="6"/>
        <v>49</v>
      </c>
      <c r="H67" s="21" t="s">
        <v>22</v>
      </c>
      <c r="I67" s="79" t="str">
        <f t="shared" si="4"/>
        <v>12-2024</v>
      </c>
      <c r="J67" s="86" t="str">
        <f>(YEAR(F67)&amp;TEXT(Table1[[#This Row],[Week]],"00"))</f>
        <v>202449</v>
      </c>
      <c r="K67" s="79" t="str">
        <f>_xlfn.TEXTJOIN("-",TRUE,Table1[[#This Row],[Client]],Table1[[#This Row],[Budget ID]],Table1[[#This Row],[Ressource
'[Initials']]])</f>
        <v>Labflex-230003-MS</v>
      </c>
      <c r="L67" s="19" t="s">
        <v>185</v>
      </c>
      <c r="M67" s="22"/>
      <c r="N67" s="22"/>
      <c r="O67" s="23">
        <v>0.5</v>
      </c>
      <c r="P67" s="117" cm="1">
        <f t="array" ref="P67">_xlfn.XLOOKUP(Table1[[#This Row],[UID
'[Helper']]],Table2[[#All],[UID
'[Helper']]],Table2[[#All],[Rate
DKK]],"Not found :(",0,1)</f>
        <v>825</v>
      </c>
      <c r="Q67" s="117">
        <f t="shared" si="5"/>
        <v>412.5</v>
      </c>
      <c r="R67" s="118"/>
      <c r="S67" s="118"/>
    </row>
    <row r="68" spans="1:19" ht="13.5">
      <c r="A68" s="42" t="s">
        <v>14</v>
      </c>
      <c r="B68" s="43" t="s">
        <v>24</v>
      </c>
      <c r="C68" s="44" t="s">
        <v>71</v>
      </c>
      <c r="D68" s="71">
        <v>230003</v>
      </c>
      <c r="E68" s="43" t="s">
        <v>37</v>
      </c>
      <c r="F68" s="20">
        <v>45631</v>
      </c>
      <c r="G68" s="45">
        <f t="shared" si="6"/>
        <v>49</v>
      </c>
      <c r="H68" s="45" t="s">
        <v>22</v>
      </c>
      <c r="I68" s="79" t="str">
        <f t="shared" ref="I68:I81" si="7">(MONTH(F68)&amp;"-"&amp;YEAR(F68))</f>
        <v>12-2024</v>
      </c>
      <c r="J68" s="86" t="str">
        <f>(YEAR(F68)&amp;TEXT(Table1[[#This Row],[Week]],"00"))</f>
        <v>202449</v>
      </c>
      <c r="K68" s="79" t="str">
        <f>_xlfn.TEXTJOIN("-",TRUE,Table1[[#This Row],[Client]],Table1[[#This Row],[Budget ID]],Table1[[#This Row],[Ressource
'[Initials']]])</f>
        <v>Labflex-230003-MS</v>
      </c>
      <c r="L68" s="19" t="s">
        <v>185</v>
      </c>
      <c r="M68" s="22"/>
      <c r="N68" s="22"/>
      <c r="O68" s="23">
        <v>0.5</v>
      </c>
      <c r="P68" s="117" cm="1">
        <f t="array" ref="P68">_xlfn.XLOOKUP(Table1[[#This Row],[UID
'[Helper']]],Table2[[#All],[UID
'[Helper']]],Table2[[#All],[Rate
DKK]],"Not found :(",0,1)</f>
        <v>825</v>
      </c>
      <c r="Q68" s="117">
        <f t="shared" ref="Q68:Q81" si="8">IFERROR(O68*P68,0)</f>
        <v>412.5</v>
      </c>
      <c r="R68" s="118"/>
      <c r="S68" s="118"/>
    </row>
    <row r="69" spans="1:19" ht="13.5">
      <c r="A69" s="18" t="s">
        <v>143</v>
      </c>
      <c r="B69" s="18" t="s">
        <v>144</v>
      </c>
      <c r="C69" s="19"/>
      <c r="D69" s="49">
        <v>240018</v>
      </c>
      <c r="E69" s="18" t="s">
        <v>79</v>
      </c>
      <c r="F69" s="20">
        <v>45631</v>
      </c>
      <c r="G69" s="21">
        <f t="shared" si="6"/>
        <v>49</v>
      </c>
      <c r="H69" s="21" t="s">
        <v>152</v>
      </c>
      <c r="I69" s="79" t="str">
        <f t="shared" si="7"/>
        <v>12-2024</v>
      </c>
      <c r="J69" s="86" t="str">
        <f>(YEAR(F69)&amp;TEXT(Table1[[#This Row],[Week]],"00"))</f>
        <v>202449</v>
      </c>
      <c r="K69" s="79" t="str">
        <f>_xlfn.TEXTJOIN("-",TRUE,Table1[[#This Row],[Client]],Table1[[#This Row],[Budget ID]],Table1[[#This Row],[Ressource
'[Initials']]])</f>
        <v>CCRM-240018-BIM Mgnt.</v>
      </c>
      <c r="L69" s="19" t="s">
        <v>205</v>
      </c>
      <c r="M69" s="22"/>
      <c r="N69" s="22"/>
      <c r="O69" s="23">
        <v>1.5</v>
      </c>
      <c r="P69" s="117" cm="1">
        <f t="array" ref="P69">_xlfn.XLOOKUP(Table1[[#This Row],[UID
'[Helper']]],Table2[[#All],[UID
'[Helper']]],Table2[[#All],[Rate
DKK]],"Not found :(",0,1)</f>
        <v>900</v>
      </c>
      <c r="Q69" s="117">
        <f t="shared" si="8"/>
        <v>1350</v>
      </c>
      <c r="R69" s="118"/>
      <c r="S69" s="118"/>
    </row>
    <row r="70" spans="1:19" ht="13.5">
      <c r="A70" s="18" t="s">
        <v>92</v>
      </c>
      <c r="B70" s="18" t="s">
        <v>139</v>
      </c>
      <c r="C70" s="19" t="s">
        <v>43</v>
      </c>
      <c r="D70" s="49" t="s">
        <v>149</v>
      </c>
      <c r="E70" s="18" t="s">
        <v>46</v>
      </c>
      <c r="F70" s="20">
        <v>45632</v>
      </c>
      <c r="G70" s="21">
        <f t="shared" si="6"/>
        <v>49</v>
      </c>
      <c r="H70" s="21" t="s">
        <v>20</v>
      </c>
      <c r="I70" s="79" t="str">
        <f t="shared" si="7"/>
        <v>12-2024</v>
      </c>
      <c r="J70" s="86" t="str">
        <f>(YEAR(F70)&amp;TEXT(Table1[[#This Row],[Week]],"00"))</f>
        <v>202449</v>
      </c>
      <c r="K70" s="79" t="str">
        <f>_xlfn.TEXTJOIN("-",TRUE,Table1[[#This Row],[Client]],Table1[[#This Row],[Budget ID]],Table1[[#This Row],[Ressource
'[Initials']]])</f>
        <v>Novo Nordisk-240017-1-DS</v>
      </c>
      <c r="L70" s="19" t="s">
        <v>190</v>
      </c>
      <c r="M70" s="22"/>
      <c r="N70" s="22"/>
      <c r="O70" s="23">
        <v>4.5</v>
      </c>
      <c r="P70" s="117" cm="1">
        <f t="array" ref="P70">_xlfn.XLOOKUP(Table1[[#This Row],[UID
'[Helper']]],Table2[[#All],[UID
'[Helper']]],Table2[[#All],[Rate
DKK]],"Not found :(",0,1)</f>
        <v>900</v>
      </c>
      <c r="Q70" s="117">
        <f t="shared" si="8"/>
        <v>4050</v>
      </c>
      <c r="R70" s="118"/>
      <c r="S70" s="118"/>
    </row>
    <row r="71" spans="1:19" ht="27">
      <c r="A71" s="18" t="s">
        <v>17</v>
      </c>
      <c r="B71" s="18" t="s">
        <v>95</v>
      </c>
      <c r="C71" s="19" t="s">
        <v>158</v>
      </c>
      <c r="D71" s="49" t="s">
        <v>146</v>
      </c>
      <c r="E71" s="18" t="s">
        <v>46</v>
      </c>
      <c r="F71" s="20">
        <v>45632</v>
      </c>
      <c r="G71" s="21">
        <f t="shared" si="6"/>
        <v>49</v>
      </c>
      <c r="H71" s="21" t="s">
        <v>20</v>
      </c>
      <c r="I71" s="79" t="str">
        <f t="shared" si="7"/>
        <v>12-2024</v>
      </c>
      <c r="J71" s="86" t="str">
        <f>(YEAR(F71)&amp;TEXT(Table1[[#This Row],[Week]],"00"))</f>
        <v>202449</v>
      </c>
      <c r="K71" s="79" t="str">
        <f>_xlfn.TEXTJOIN("-",TRUE,Table1[[#This Row],[Client]],Table1[[#This Row],[Budget ID]],Table1[[#This Row],[Ressource
'[Initials']]])</f>
        <v>RH Arkitekter-240005-1-DS</v>
      </c>
      <c r="L71" s="19" t="s">
        <v>191</v>
      </c>
      <c r="M71" s="22"/>
      <c r="N71" s="22"/>
      <c r="O71" s="23">
        <v>2.5</v>
      </c>
      <c r="P71" s="117" cm="1">
        <f t="array" ref="P71">_xlfn.XLOOKUP(Table1[[#This Row],[UID
'[Helper']]],Table2[[#All],[UID
'[Helper']]],Table2[[#All],[Rate
DKK]],"Not found :(",0,1)</f>
        <v>900</v>
      </c>
      <c r="Q71" s="117">
        <f t="shared" si="8"/>
        <v>2250</v>
      </c>
      <c r="R71" s="118"/>
      <c r="S71" s="118"/>
    </row>
    <row r="72" spans="1:19" ht="13.5">
      <c r="A72" s="42" t="s">
        <v>92</v>
      </c>
      <c r="B72" s="43" t="s">
        <v>139</v>
      </c>
      <c r="C72" s="44" t="s">
        <v>43</v>
      </c>
      <c r="D72" s="71" t="s">
        <v>149</v>
      </c>
      <c r="E72" s="43" t="s">
        <v>46</v>
      </c>
      <c r="F72" s="20">
        <v>45632</v>
      </c>
      <c r="G72" s="21">
        <f t="shared" si="6"/>
        <v>49</v>
      </c>
      <c r="H72" s="21" t="s">
        <v>54</v>
      </c>
      <c r="I72" s="79" t="str">
        <f t="shared" si="7"/>
        <v>12-2024</v>
      </c>
      <c r="J72" s="86" t="str">
        <f>(YEAR(F72)&amp;TEXT(Table1[[#This Row],[Week]],"00"))</f>
        <v>202449</v>
      </c>
      <c r="K72" s="79" t="str">
        <f>_xlfn.TEXTJOIN("-",TRUE,Table1[[#This Row],[Client]],Table1[[#This Row],[Budget ID]],Table1[[#This Row],[Ressource
'[Initials']]])</f>
        <v>Novo Nordisk-240017-1-ML</v>
      </c>
      <c r="L72" s="19" t="s">
        <v>192</v>
      </c>
      <c r="M72" s="22"/>
      <c r="N72" s="22"/>
      <c r="O72" s="23">
        <v>2</v>
      </c>
      <c r="P72" s="117" cm="1">
        <f t="array" ref="P72">_xlfn.XLOOKUP(Table1[[#This Row],[UID
'[Helper']]],Table2[[#All],[UID
'[Helper']]],Table2[[#All],[Rate
DKK]],"Not found :(",0,1)</f>
        <v>900</v>
      </c>
      <c r="Q72" s="117">
        <f t="shared" si="8"/>
        <v>1800</v>
      </c>
      <c r="R72" s="118"/>
      <c r="S72" s="118"/>
    </row>
    <row r="73" spans="1:19" ht="12.75" customHeight="1">
      <c r="A73" s="39" t="s">
        <v>92</v>
      </c>
      <c r="B73" s="36" t="s">
        <v>139</v>
      </c>
      <c r="C73" s="37" t="s">
        <v>43</v>
      </c>
      <c r="D73" s="70" t="s">
        <v>149</v>
      </c>
      <c r="E73" s="36" t="s">
        <v>46</v>
      </c>
      <c r="F73" s="20">
        <v>45632</v>
      </c>
      <c r="G73" s="21">
        <f t="shared" si="6"/>
        <v>49</v>
      </c>
      <c r="H73" s="21" t="s">
        <v>22</v>
      </c>
      <c r="I73" s="79" t="str">
        <f t="shared" si="7"/>
        <v>12-2024</v>
      </c>
      <c r="J73" s="86" t="str">
        <f>(YEAR(F73)&amp;TEXT(Table1[[#This Row],[Week]],"00"))</f>
        <v>202449</v>
      </c>
      <c r="K73" s="79" t="str">
        <f>_xlfn.TEXTJOIN("-",TRUE,Table1[[#This Row],[Client]],Table1[[#This Row],[Budget ID]],Table1[[#This Row],[Ressource
'[Initials']]])</f>
        <v>Novo Nordisk-240017-1-MS</v>
      </c>
      <c r="L73" s="19" t="s">
        <v>196</v>
      </c>
      <c r="M73" s="22"/>
      <c r="N73" s="22"/>
      <c r="O73" s="23">
        <v>1</v>
      </c>
      <c r="P73" s="117" cm="1">
        <f t="array" ref="P73">_xlfn.XLOOKUP(Table1[[#This Row],[UID
'[Helper']]],Table2[[#All],[UID
'[Helper']]],Table2[[#All],[Rate
DKK]],"Not found :(",0,1)</f>
        <v>900</v>
      </c>
      <c r="Q73" s="117">
        <f t="shared" si="8"/>
        <v>900</v>
      </c>
      <c r="R73" s="118"/>
      <c r="S73" s="118"/>
    </row>
    <row r="74" spans="1:19" ht="13.5">
      <c r="A74" s="18" t="s">
        <v>17</v>
      </c>
      <c r="B74" s="18" t="s">
        <v>95</v>
      </c>
      <c r="C74" s="19" t="s">
        <v>158</v>
      </c>
      <c r="D74" s="49" t="s">
        <v>146</v>
      </c>
      <c r="E74" s="18" t="s">
        <v>46</v>
      </c>
      <c r="F74" s="20">
        <v>45632</v>
      </c>
      <c r="G74" s="21">
        <f t="shared" si="6"/>
        <v>49</v>
      </c>
      <c r="H74" s="21" t="s">
        <v>22</v>
      </c>
      <c r="I74" s="79" t="str">
        <f t="shared" si="7"/>
        <v>12-2024</v>
      </c>
      <c r="J74" s="86" t="str">
        <f>(YEAR(F74)&amp;TEXT(Table1[[#This Row],[Week]],"00"))</f>
        <v>202449</v>
      </c>
      <c r="K74" s="79" t="str">
        <f>_xlfn.TEXTJOIN("-",TRUE,Table1[[#This Row],[Client]],Table1[[#This Row],[Budget ID]],Table1[[#This Row],[Ressource
'[Initials']]])</f>
        <v>RH Arkitekter-240005-1-MS</v>
      </c>
      <c r="L74" s="19" t="s">
        <v>197</v>
      </c>
      <c r="M74" s="22"/>
      <c r="N74" s="22"/>
      <c r="O74" s="23">
        <v>1.5</v>
      </c>
      <c r="P74" s="117" cm="1">
        <f t="array" ref="P74">_xlfn.XLOOKUP(Table1[[#This Row],[UID
'[Helper']]],Table2[[#All],[UID
'[Helper']]],Table2[[#All],[Rate
DKK]],"Not found :(",0,1)</f>
        <v>900</v>
      </c>
      <c r="Q74" s="117">
        <f t="shared" si="8"/>
        <v>1350</v>
      </c>
      <c r="R74" s="118"/>
      <c r="S74" s="118"/>
    </row>
    <row r="75" spans="1:19" ht="13.5">
      <c r="A75" s="39" t="s">
        <v>143</v>
      </c>
      <c r="B75" s="36" t="s">
        <v>144</v>
      </c>
      <c r="C75" s="37"/>
      <c r="D75" s="70">
        <v>240018</v>
      </c>
      <c r="E75" s="36" t="s">
        <v>79</v>
      </c>
      <c r="F75" s="20">
        <v>45632</v>
      </c>
      <c r="G75" s="38">
        <f t="shared" si="6"/>
        <v>49</v>
      </c>
      <c r="H75" s="38" t="s">
        <v>22</v>
      </c>
      <c r="I75" s="79" t="str">
        <f t="shared" si="7"/>
        <v>12-2024</v>
      </c>
      <c r="J75" s="86" t="str">
        <f>(YEAR(F75)&amp;TEXT(Table1[[#This Row],[Week]],"00"))</f>
        <v>202449</v>
      </c>
      <c r="K75" s="79" t="str">
        <f>_xlfn.TEXTJOIN("-",TRUE,Table1[[#This Row],[Client]],Table1[[#This Row],[Budget ID]],Table1[[#This Row],[Ressource
'[Initials']]])</f>
        <v>CCRM-240018-MS</v>
      </c>
      <c r="L75" s="19" t="s">
        <v>198</v>
      </c>
      <c r="M75" s="22"/>
      <c r="N75" s="22"/>
      <c r="O75" s="23">
        <v>1.5</v>
      </c>
      <c r="P75" s="117" cm="1">
        <f t="array" ref="P75">_xlfn.XLOOKUP(Table1[[#This Row],[UID
'[Helper']]],Table2[[#All],[UID
'[Helper']]],Table2[[#All],[Rate
DKK]],"Not found :(",0,1)</f>
        <v>900</v>
      </c>
      <c r="Q75" s="117">
        <f t="shared" si="8"/>
        <v>1350</v>
      </c>
      <c r="R75" s="118"/>
      <c r="S75" s="118"/>
    </row>
    <row r="76" spans="1:19" ht="13.5">
      <c r="A76" s="42" t="s">
        <v>107</v>
      </c>
      <c r="B76" s="43" t="s">
        <v>154</v>
      </c>
      <c r="C76" s="44"/>
      <c r="D76" s="71">
        <v>240022</v>
      </c>
      <c r="E76" s="43" t="s">
        <v>37</v>
      </c>
      <c r="F76" s="20">
        <v>45632</v>
      </c>
      <c r="G76" s="45">
        <f t="shared" si="6"/>
        <v>49</v>
      </c>
      <c r="H76" s="45" t="s">
        <v>54</v>
      </c>
      <c r="I76" s="79" t="str">
        <f t="shared" si="7"/>
        <v>12-2024</v>
      </c>
      <c r="J76" s="86" t="str">
        <f>(YEAR(F76)&amp;TEXT(Table1[[#This Row],[Week]],"00"))</f>
        <v>202449</v>
      </c>
      <c r="K76" s="79" t="str">
        <f>_xlfn.TEXTJOIN("-",TRUE,Table1[[#This Row],[Client]],Table1[[#This Row],[Budget ID]],Table1[[#This Row],[Ressource
'[Initials']]])</f>
        <v>Zystm-240022-ML</v>
      </c>
      <c r="L76" s="19" t="s">
        <v>193</v>
      </c>
      <c r="M76" s="22"/>
      <c r="N76" s="22"/>
      <c r="O76" s="23">
        <v>4.5</v>
      </c>
      <c r="P76" s="117" cm="1">
        <f t="array" ref="P76">_xlfn.XLOOKUP(Table1[[#This Row],[UID
'[Helper']]],Table2[[#All],[UID
'[Helper']]],Table2[[#All],[Rate
DKK]],"Not found :(",0,1)</f>
        <v>850</v>
      </c>
      <c r="Q76" s="117">
        <f t="shared" si="8"/>
        <v>3825</v>
      </c>
      <c r="R76" s="118"/>
      <c r="S76" s="118"/>
    </row>
    <row r="77" spans="1:19" ht="13.5">
      <c r="A77" s="18" t="s">
        <v>107</v>
      </c>
      <c r="B77" s="18" t="s">
        <v>153</v>
      </c>
      <c r="C77" s="19"/>
      <c r="D77" s="49">
        <v>240021</v>
      </c>
      <c r="E77" s="18" t="s">
        <v>37</v>
      </c>
      <c r="F77" s="20">
        <v>45632</v>
      </c>
      <c r="G77" s="21">
        <f t="shared" si="6"/>
        <v>49</v>
      </c>
      <c r="H77" s="21" t="s">
        <v>54</v>
      </c>
      <c r="I77" s="79" t="str">
        <f t="shared" si="7"/>
        <v>12-2024</v>
      </c>
      <c r="J77" s="86" t="str">
        <f>(YEAR(F77)&amp;TEXT(Table1[[#This Row],[Week]],"00"))</f>
        <v>202449</v>
      </c>
      <c r="K77" s="79" t="str">
        <f>_xlfn.TEXTJOIN("-",TRUE,Table1[[#This Row],[Client]],Table1[[#This Row],[Budget ID]],Table1[[#This Row],[Ressource
'[Initials']]])</f>
        <v>Zystm-240021-ML</v>
      </c>
      <c r="L77" s="19" t="s">
        <v>194</v>
      </c>
      <c r="M77" s="22"/>
      <c r="N77" s="22"/>
      <c r="O77" s="23">
        <v>1.5</v>
      </c>
      <c r="P77" s="117" cm="1">
        <f t="array" ref="P77">_xlfn.XLOOKUP(Table1[[#This Row],[UID
'[Helper']]],Table2[[#All],[UID
'[Helper']]],Table2[[#All],[Rate
DKK]],"Not found :(",0,1)</f>
        <v>850</v>
      </c>
      <c r="Q77" s="117">
        <f t="shared" si="8"/>
        <v>1275</v>
      </c>
      <c r="R77" s="118"/>
      <c r="S77" s="118"/>
    </row>
    <row r="78" spans="1:19" ht="13.5">
      <c r="A78" s="18" t="s">
        <v>14</v>
      </c>
      <c r="B78" s="18" t="s">
        <v>24</v>
      </c>
      <c r="C78" s="19" t="s">
        <v>72</v>
      </c>
      <c r="D78" s="49">
        <v>230003</v>
      </c>
      <c r="E78" s="18" t="s">
        <v>37</v>
      </c>
      <c r="F78" s="20">
        <v>45632</v>
      </c>
      <c r="G78" s="21">
        <f t="shared" si="6"/>
        <v>49</v>
      </c>
      <c r="H78" s="21" t="s">
        <v>22</v>
      </c>
      <c r="I78" s="79" t="str">
        <f t="shared" si="7"/>
        <v>12-2024</v>
      </c>
      <c r="J78" s="86" t="str">
        <f>(YEAR(F78)&amp;TEXT(Table1[[#This Row],[Week]],"00"))</f>
        <v>202449</v>
      </c>
      <c r="K78" s="79" t="str">
        <f>_xlfn.TEXTJOIN("-",TRUE,Table1[[#This Row],[Client]],Table1[[#This Row],[Budget ID]],Table1[[#This Row],[Ressource
'[Initials']]])</f>
        <v>Labflex-230003-MS</v>
      </c>
      <c r="L78" s="19" t="s">
        <v>199</v>
      </c>
      <c r="M78" s="22"/>
      <c r="N78" s="22"/>
      <c r="O78" s="23">
        <v>1</v>
      </c>
      <c r="P78" s="117" cm="1">
        <f t="array" ref="P78">_xlfn.XLOOKUP(Table1[[#This Row],[UID
'[Helper']]],Table2[[#All],[UID
'[Helper']]],Table2[[#All],[Rate
DKK]],"Not found :(",0,1)</f>
        <v>825</v>
      </c>
      <c r="Q78" s="117">
        <f t="shared" si="8"/>
        <v>825</v>
      </c>
      <c r="R78" s="118"/>
      <c r="S78" s="118"/>
    </row>
    <row r="79" spans="1:19" ht="13.5">
      <c r="A79" s="18" t="s">
        <v>14</v>
      </c>
      <c r="B79" s="18" t="s">
        <v>24</v>
      </c>
      <c r="C79" s="19" t="s">
        <v>71</v>
      </c>
      <c r="D79" s="49">
        <v>230003</v>
      </c>
      <c r="E79" s="18" t="s">
        <v>37</v>
      </c>
      <c r="F79" s="20">
        <v>45632</v>
      </c>
      <c r="G79" s="21">
        <f t="shared" si="6"/>
        <v>49</v>
      </c>
      <c r="H79" s="21" t="s">
        <v>22</v>
      </c>
      <c r="I79" s="79" t="str">
        <f t="shared" si="7"/>
        <v>12-2024</v>
      </c>
      <c r="J79" s="86" t="str">
        <f>(YEAR(F79)&amp;TEXT(Table1[[#This Row],[Week]],"00"))</f>
        <v>202449</v>
      </c>
      <c r="K79" s="79" t="str">
        <f>_xlfn.TEXTJOIN("-",TRUE,Table1[[#This Row],[Client]],Table1[[#This Row],[Budget ID]],Table1[[#This Row],[Ressource
'[Initials']]])</f>
        <v>Labflex-230003-MS</v>
      </c>
      <c r="L79" s="19" t="s">
        <v>199</v>
      </c>
      <c r="M79" s="22"/>
      <c r="N79" s="22"/>
      <c r="O79" s="23">
        <v>1</v>
      </c>
      <c r="P79" s="117" cm="1">
        <f t="array" ref="P79">_xlfn.XLOOKUP(Table1[[#This Row],[UID
'[Helper']]],Table2[[#All],[UID
'[Helper']]],Table2[[#All],[Rate
DKK]],"Not found :(",0,1)</f>
        <v>825</v>
      </c>
      <c r="Q79" s="117">
        <f t="shared" si="8"/>
        <v>825</v>
      </c>
      <c r="R79" s="118"/>
      <c r="S79" s="118"/>
    </row>
    <row r="80" spans="1:19" ht="13.5">
      <c r="A80" s="18" t="s">
        <v>14</v>
      </c>
      <c r="B80" s="18" t="s">
        <v>24</v>
      </c>
      <c r="C80" s="19" t="s">
        <v>70</v>
      </c>
      <c r="D80" s="49">
        <v>230003</v>
      </c>
      <c r="E80" s="18" t="s">
        <v>37</v>
      </c>
      <c r="F80" s="20">
        <v>45632</v>
      </c>
      <c r="G80" s="21">
        <f t="shared" si="6"/>
        <v>49</v>
      </c>
      <c r="H80" s="21" t="s">
        <v>22</v>
      </c>
      <c r="I80" s="79" t="str">
        <f t="shared" si="7"/>
        <v>12-2024</v>
      </c>
      <c r="J80" s="86" t="str">
        <f>(YEAR(F80)&amp;TEXT(Table1[[#This Row],[Week]],"00"))</f>
        <v>202449</v>
      </c>
      <c r="K80" s="79" t="str">
        <f>_xlfn.TEXTJOIN("-",TRUE,Table1[[#This Row],[Client]],Table1[[#This Row],[Budget ID]],Table1[[#This Row],[Ressource
'[Initials']]])</f>
        <v>Labflex-230003-MS</v>
      </c>
      <c r="L80" s="19" t="s">
        <v>200</v>
      </c>
      <c r="M80" s="22"/>
      <c r="N80" s="22"/>
      <c r="O80" s="23">
        <v>1</v>
      </c>
      <c r="P80" s="117" cm="1">
        <f t="array" ref="P80">_xlfn.XLOOKUP(Table1[[#This Row],[UID
'[Helper']]],Table2[[#All],[UID
'[Helper']]],Table2[[#All],[Rate
DKK]],"Not found :(",0,1)</f>
        <v>825</v>
      </c>
      <c r="Q80" s="117">
        <f t="shared" si="8"/>
        <v>825</v>
      </c>
      <c r="R80" s="118"/>
      <c r="S80" s="118"/>
    </row>
    <row r="81" spans="1:19" ht="13.5">
      <c r="A81" s="18" t="s">
        <v>17</v>
      </c>
      <c r="B81" s="18" t="s">
        <v>95</v>
      </c>
      <c r="C81" s="19" t="s">
        <v>158</v>
      </c>
      <c r="D81" s="49" t="s">
        <v>146</v>
      </c>
      <c r="E81" s="18" t="s">
        <v>46</v>
      </c>
      <c r="F81" s="20">
        <v>45635</v>
      </c>
      <c r="G81" s="21">
        <f t="shared" si="6"/>
        <v>50</v>
      </c>
      <c r="H81" s="21" t="s">
        <v>20</v>
      </c>
      <c r="I81" s="79" t="str">
        <f t="shared" si="7"/>
        <v>12-2024</v>
      </c>
      <c r="J81" s="86" t="str">
        <f>(YEAR(F81)&amp;TEXT(Table1[[#This Row],[Week]],"00"))</f>
        <v>202450</v>
      </c>
      <c r="K81" s="79" t="str">
        <f>_xlfn.TEXTJOIN("-",TRUE,Table1[[#This Row],[Client]],Table1[[#This Row],[Budget ID]],Table1[[#This Row],[Ressource
'[Initials']]])</f>
        <v>RH Arkitekter-240005-1-DS</v>
      </c>
      <c r="L81" s="19" t="s">
        <v>195</v>
      </c>
      <c r="M81" s="22"/>
      <c r="N81" s="22"/>
      <c r="O81" s="23">
        <v>3.5</v>
      </c>
      <c r="P81" s="117" cm="1">
        <f t="array" ref="P81">_xlfn.XLOOKUP(Table1[[#This Row],[UID
'[Helper']]],Table2[[#All],[UID
'[Helper']]],Table2[[#All],[Rate
DKK]],"Not found :(",0,1)</f>
        <v>900</v>
      </c>
      <c r="Q81" s="117">
        <f t="shared" si="8"/>
        <v>3150</v>
      </c>
      <c r="R81" s="118"/>
      <c r="S81" s="118"/>
    </row>
    <row r="82" spans="1:19" ht="40.5">
      <c r="A82" s="18" t="s">
        <v>17</v>
      </c>
      <c r="B82" s="18" t="s">
        <v>95</v>
      </c>
      <c r="C82" s="19" t="s">
        <v>158</v>
      </c>
      <c r="D82" s="49" t="s">
        <v>146</v>
      </c>
      <c r="E82" s="18" t="s">
        <v>46</v>
      </c>
      <c r="F82" s="20">
        <v>45693</v>
      </c>
      <c r="G82" s="21">
        <f t="shared" ref="G82:G111" si="9">WEEKNUM($F82,21)</f>
        <v>6</v>
      </c>
      <c r="H82" s="21" t="s">
        <v>22</v>
      </c>
      <c r="I82" s="79" t="str">
        <f t="shared" ref="I82:I112" si="10">(MONTH(F82)&amp;"-"&amp;YEAR(F82))</f>
        <v>2-2025</v>
      </c>
      <c r="J82" s="86" t="str">
        <f>(YEAR(F82)&amp;TEXT(Table1[[#This Row],[Week]],"00"))</f>
        <v>202506</v>
      </c>
      <c r="K82" s="79" t="str">
        <f>_xlfn.TEXTJOIN("-",TRUE,Table1[[#This Row],[Client]],Table1[[#This Row],[Budget ID]],Table1[[#This Row],[Ressource
'[Initials']]])</f>
        <v>RH Arkitekter-240005-1-MS</v>
      </c>
      <c r="L82" s="19" t="s">
        <v>221</v>
      </c>
      <c r="M82" s="22"/>
      <c r="N82" s="22"/>
      <c r="O82" s="23">
        <v>5.5</v>
      </c>
      <c r="P82" s="117" cm="1">
        <f t="array" ref="P82">_xlfn.XLOOKUP(Table1[[#This Row],[UID
'[Helper']]],Table2[[#All],[UID
'[Helper']]],Table2[[#All],[Rate
DKK]],"Not found :(",0,1)</f>
        <v>900</v>
      </c>
      <c r="Q82" s="117">
        <f t="shared" ref="Q82:Q112" si="11">IFERROR(O82*P82,0)</f>
        <v>4950</v>
      </c>
      <c r="R82" s="118"/>
      <c r="S82" s="118"/>
    </row>
    <row r="83" spans="1:19" ht="13.5">
      <c r="A83" s="18" t="s">
        <v>14</v>
      </c>
      <c r="B83" s="18" t="s">
        <v>24</v>
      </c>
      <c r="C83" s="19" t="s">
        <v>207</v>
      </c>
      <c r="D83" s="49" t="s">
        <v>218</v>
      </c>
      <c r="E83" s="18" t="s">
        <v>46</v>
      </c>
      <c r="F83" s="20">
        <v>45693</v>
      </c>
      <c r="G83" s="21">
        <f t="shared" si="9"/>
        <v>6</v>
      </c>
      <c r="H83" s="21" t="s">
        <v>22</v>
      </c>
      <c r="I83" s="79" t="str">
        <f t="shared" si="10"/>
        <v>2-2025</v>
      </c>
      <c r="J83" s="86" t="str">
        <f>(YEAR(F83)&amp;TEXT(Table1[[#This Row],[Week]],"00"))</f>
        <v>202506</v>
      </c>
      <c r="K83" s="79" t="str">
        <f>_xlfn.TEXTJOIN("-",TRUE,Table1[[#This Row],[Client]],Table1[[#This Row],[Budget ID]],Table1[[#This Row],[Ressource
'[Initials']]])</f>
        <v>Labflex-230003-1-MS</v>
      </c>
      <c r="L83" s="19" t="s">
        <v>222</v>
      </c>
      <c r="M83" s="22"/>
      <c r="N83" s="22"/>
      <c r="O83" s="23">
        <v>1</v>
      </c>
      <c r="P83" s="117" cm="1">
        <f t="array" ref="P83">_xlfn.XLOOKUP(Table1[[#This Row],[UID
'[Helper']]],Table2[[#All],[UID
'[Helper']]],Table2[[#All],[Rate
DKK]],"Not found :(",0,1)</f>
        <v>900</v>
      </c>
      <c r="Q83" s="117">
        <f t="shared" si="11"/>
        <v>900</v>
      </c>
      <c r="R83" s="118"/>
      <c r="S83" s="118"/>
    </row>
    <row r="84" spans="1:19" ht="27">
      <c r="A84" s="18" t="s">
        <v>14</v>
      </c>
      <c r="B84" s="18" t="s">
        <v>24</v>
      </c>
      <c r="C84" s="19" t="s">
        <v>71</v>
      </c>
      <c r="D84" s="49" t="s">
        <v>218</v>
      </c>
      <c r="E84" s="18" t="s">
        <v>73</v>
      </c>
      <c r="F84" s="20">
        <v>45693</v>
      </c>
      <c r="G84" s="21">
        <f t="shared" si="9"/>
        <v>6</v>
      </c>
      <c r="H84" s="21" t="s">
        <v>22</v>
      </c>
      <c r="I84" s="79" t="str">
        <f t="shared" si="10"/>
        <v>2-2025</v>
      </c>
      <c r="J84" s="86" t="str">
        <f>(YEAR(F84)&amp;TEXT(Table1[[#This Row],[Week]],"00"))</f>
        <v>202506</v>
      </c>
      <c r="K84" s="79" t="str">
        <f>_xlfn.TEXTJOIN("-",TRUE,Table1[[#This Row],[Client]],Table1[[#This Row],[Budget ID]],Table1[[#This Row],[Ressource
'[Initials']]])</f>
        <v>Labflex-230003-1-MS</v>
      </c>
      <c r="L84" s="19" t="s">
        <v>223</v>
      </c>
      <c r="M84" s="22"/>
      <c r="N84" s="22"/>
      <c r="O84" s="23">
        <v>1</v>
      </c>
      <c r="P84" s="117" cm="1">
        <f t="array" ref="P84">_xlfn.XLOOKUP(Table1[[#This Row],[UID
'[Helper']]],Table2[[#All],[UID
'[Helper']]],Table2[[#All],[Rate
DKK]],"Not found :(",0,1)</f>
        <v>900</v>
      </c>
      <c r="Q84" s="117">
        <f t="shared" si="11"/>
        <v>900</v>
      </c>
      <c r="R84" s="118"/>
      <c r="S84" s="118"/>
    </row>
    <row r="85" spans="1:19" ht="27">
      <c r="A85" s="18" t="s">
        <v>14</v>
      </c>
      <c r="B85" s="18" t="s">
        <v>24</v>
      </c>
      <c r="C85" s="19" t="s">
        <v>72</v>
      </c>
      <c r="D85" s="49" t="s">
        <v>218</v>
      </c>
      <c r="E85" s="18" t="s">
        <v>73</v>
      </c>
      <c r="F85" s="20">
        <v>45693</v>
      </c>
      <c r="G85" s="21">
        <f t="shared" si="9"/>
        <v>6</v>
      </c>
      <c r="H85" s="21" t="s">
        <v>22</v>
      </c>
      <c r="I85" s="79" t="str">
        <f t="shared" si="10"/>
        <v>2-2025</v>
      </c>
      <c r="J85" s="86" t="str">
        <f>(YEAR(F85)&amp;TEXT(Table1[[#This Row],[Week]],"00"))</f>
        <v>202506</v>
      </c>
      <c r="K85" s="79" t="str">
        <f>_xlfn.TEXTJOIN("-",TRUE,Table1[[#This Row],[Client]],Table1[[#This Row],[Budget ID]],Table1[[#This Row],[Ressource
'[Initials']]])</f>
        <v>Labflex-230003-1-MS</v>
      </c>
      <c r="L85" s="19" t="s">
        <v>223</v>
      </c>
      <c r="M85" s="22"/>
      <c r="N85" s="22"/>
      <c r="O85" s="23">
        <v>1</v>
      </c>
      <c r="P85" s="117" cm="1">
        <f t="array" ref="P85">_xlfn.XLOOKUP(Table1[[#This Row],[UID
'[Helper']]],Table2[[#All],[UID
'[Helper']]],Table2[[#All],[Rate
DKK]],"Not found :(",0,1)</f>
        <v>900</v>
      </c>
      <c r="Q85" s="117">
        <f t="shared" si="11"/>
        <v>900</v>
      </c>
      <c r="R85" s="118"/>
      <c r="S85" s="118"/>
    </row>
    <row r="86" spans="1:19" ht="13.5">
      <c r="A86" s="18" t="s">
        <v>14</v>
      </c>
      <c r="B86" s="18" t="s">
        <v>24</v>
      </c>
      <c r="C86" s="19" t="s">
        <v>71</v>
      </c>
      <c r="D86" s="49" t="s">
        <v>218</v>
      </c>
      <c r="E86" s="18" t="s">
        <v>37</v>
      </c>
      <c r="F86" s="20">
        <v>45693</v>
      </c>
      <c r="G86" s="21">
        <f t="shared" si="9"/>
        <v>6</v>
      </c>
      <c r="H86" s="21" t="s">
        <v>22</v>
      </c>
      <c r="I86" s="79" t="str">
        <f t="shared" si="10"/>
        <v>2-2025</v>
      </c>
      <c r="J86" s="86" t="str">
        <f>(YEAR(F86)&amp;TEXT(Table1[[#This Row],[Week]],"00"))</f>
        <v>202506</v>
      </c>
      <c r="K86" s="79" t="str">
        <f>_xlfn.TEXTJOIN("-",TRUE,Table1[[#This Row],[Client]],Table1[[#This Row],[Budget ID]],Table1[[#This Row],[Ressource
'[Initials']]])</f>
        <v>Labflex-230003-1-MS</v>
      </c>
      <c r="L86" s="19" t="s">
        <v>224</v>
      </c>
      <c r="M86" s="22"/>
      <c r="N86" s="22"/>
      <c r="O86" s="23">
        <v>0.5</v>
      </c>
      <c r="P86" s="117" cm="1">
        <f t="array" ref="P86">_xlfn.XLOOKUP(Table1[[#This Row],[UID
'[Helper']]],Table2[[#All],[UID
'[Helper']]],Table2[[#All],[Rate
DKK]],"Not found :(",0,1)</f>
        <v>900</v>
      </c>
      <c r="Q86" s="117">
        <f t="shared" si="11"/>
        <v>450</v>
      </c>
      <c r="R86" s="118"/>
      <c r="S86" s="118"/>
    </row>
    <row r="87" spans="1:19" ht="13.5">
      <c r="A87" s="18" t="s">
        <v>14</v>
      </c>
      <c r="B87" s="18" t="s">
        <v>24</v>
      </c>
      <c r="C87" s="19" t="s">
        <v>72</v>
      </c>
      <c r="D87" s="49" t="s">
        <v>218</v>
      </c>
      <c r="E87" s="18" t="s">
        <v>37</v>
      </c>
      <c r="F87" s="20">
        <v>45693</v>
      </c>
      <c r="G87" s="21">
        <f t="shared" si="9"/>
        <v>6</v>
      </c>
      <c r="H87" s="21" t="s">
        <v>22</v>
      </c>
      <c r="I87" s="79" t="str">
        <f t="shared" si="10"/>
        <v>2-2025</v>
      </c>
      <c r="J87" s="86" t="str">
        <f>(YEAR(F87)&amp;TEXT(Table1[[#This Row],[Week]],"00"))</f>
        <v>202506</v>
      </c>
      <c r="K87" s="79" t="str">
        <f>_xlfn.TEXTJOIN("-",TRUE,Table1[[#This Row],[Client]],Table1[[#This Row],[Budget ID]],Table1[[#This Row],[Ressource
'[Initials']]])</f>
        <v>Labflex-230003-1-MS</v>
      </c>
      <c r="L87" s="19" t="s">
        <v>224</v>
      </c>
      <c r="M87" s="22"/>
      <c r="N87" s="22"/>
      <c r="O87" s="23">
        <v>5</v>
      </c>
      <c r="P87" s="117" cm="1">
        <f t="array" ref="P87">_xlfn.XLOOKUP(Table1[[#This Row],[UID
'[Helper']]],Table2[[#All],[UID
'[Helper']]],Table2[[#All],[Rate
DKK]],"Not found :(",0,1)</f>
        <v>900</v>
      </c>
      <c r="Q87" s="117">
        <f t="shared" si="11"/>
        <v>4500</v>
      </c>
      <c r="R87" s="118"/>
      <c r="S87" s="118"/>
    </row>
    <row r="88" spans="1:19" ht="13.5">
      <c r="A88" s="129" t="s">
        <v>107</v>
      </c>
      <c r="B88" s="129" t="s">
        <v>154</v>
      </c>
      <c r="C88" s="130"/>
      <c r="D88" s="131">
        <v>240022</v>
      </c>
      <c r="E88" s="129" t="s">
        <v>37</v>
      </c>
      <c r="F88" s="132">
        <v>45693</v>
      </c>
      <c r="G88" s="133">
        <f t="shared" si="9"/>
        <v>6</v>
      </c>
      <c r="H88" s="133" t="s">
        <v>54</v>
      </c>
      <c r="I88" s="79" t="str">
        <f t="shared" si="10"/>
        <v>2-2025</v>
      </c>
      <c r="J88" s="86" t="str">
        <f>(YEAR(F88)&amp;TEXT(Table1[[#This Row],[Week]],"00"))</f>
        <v>202506</v>
      </c>
      <c r="K88" s="79" t="str">
        <f>_xlfn.TEXTJOIN("-",TRUE,Table1[[#This Row],[Client]],Table1[[#This Row],[Budget ID]],Table1[[#This Row],[Ressource
'[Initials']]])</f>
        <v>Zystm-240022-ML</v>
      </c>
      <c r="L88" s="19" t="s">
        <v>219</v>
      </c>
      <c r="M88" s="22"/>
      <c r="N88" s="22"/>
      <c r="O88" s="23">
        <v>2.5</v>
      </c>
      <c r="P88" s="117" cm="1">
        <f t="array" ref="P88">_xlfn.XLOOKUP(Table1[[#This Row],[UID
'[Helper']]],Table2[[#All],[UID
'[Helper']]],Table2[[#All],[Rate
DKK]],"Not found :(",0,1)</f>
        <v>850</v>
      </c>
      <c r="Q88" s="117">
        <f t="shared" si="11"/>
        <v>2125</v>
      </c>
      <c r="R88" s="118"/>
      <c r="S88" s="118"/>
    </row>
    <row r="89" spans="1:19" ht="13.5">
      <c r="A89" s="129" t="s">
        <v>107</v>
      </c>
      <c r="B89" s="129" t="s">
        <v>153</v>
      </c>
      <c r="C89" s="130"/>
      <c r="D89" s="131">
        <v>240021</v>
      </c>
      <c r="E89" s="129" t="s">
        <v>37</v>
      </c>
      <c r="F89" s="132">
        <v>45693</v>
      </c>
      <c r="G89" s="133">
        <f t="shared" si="9"/>
        <v>6</v>
      </c>
      <c r="H89" s="133" t="s">
        <v>54</v>
      </c>
      <c r="I89" s="79" t="str">
        <f t="shared" si="10"/>
        <v>2-2025</v>
      </c>
      <c r="J89" s="86" t="str">
        <f>(YEAR(F89)&amp;TEXT(Table1[[#This Row],[Week]],"00"))</f>
        <v>202506</v>
      </c>
      <c r="K89" s="79" t="str">
        <f>_xlfn.TEXTJOIN("-",TRUE,Table1[[#This Row],[Client]],Table1[[#This Row],[Budget ID]],Table1[[#This Row],[Ressource
'[Initials']]])</f>
        <v>Zystm-240021-ML</v>
      </c>
      <c r="L89" s="19" t="s">
        <v>220</v>
      </c>
      <c r="M89" s="22"/>
      <c r="N89" s="22"/>
      <c r="O89" s="23">
        <v>0.5</v>
      </c>
      <c r="P89" s="117" cm="1">
        <f t="array" ref="P89">_xlfn.XLOOKUP(Table1[[#This Row],[UID
'[Helper']]],Table2[[#All],[UID
'[Helper']]],Table2[[#All],[Rate
DKK]],"Not found :(",0,1)</f>
        <v>850</v>
      </c>
      <c r="Q89" s="117">
        <f t="shared" si="11"/>
        <v>425</v>
      </c>
      <c r="R89" s="118"/>
      <c r="S89" s="118"/>
    </row>
    <row r="90" spans="1:19" ht="13.5">
      <c r="A90" s="129" t="s">
        <v>14</v>
      </c>
      <c r="B90" s="129" t="s">
        <v>24</v>
      </c>
      <c r="C90" s="130" t="s">
        <v>207</v>
      </c>
      <c r="D90" s="49" t="s">
        <v>218</v>
      </c>
      <c r="E90" s="129" t="s">
        <v>46</v>
      </c>
      <c r="F90" s="132">
        <v>45693</v>
      </c>
      <c r="G90" s="133">
        <f t="shared" si="9"/>
        <v>6</v>
      </c>
      <c r="H90" s="133" t="s">
        <v>54</v>
      </c>
      <c r="I90" s="79" t="str">
        <f t="shared" si="10"/>
        <v>2-2025</v>
      </c>
      <c r="J90" s="86" t="str">
        <f>(YEAR(F90)&amp;TEXT(Table1[[#This Row],[Week]],"00"))</f>
        <v>202506</v>
      </c>
      <c r="K90" s="79" t="str">
        <f>_xlfn.TEXTJOIN("-",TRUE,Table1[[#This Row],[Client]],Table1[[#This Row],[Budget ID]],Table1[[#This Row],[Ressource
'[Initials']]])</f>
        <v>Labflex-230003-1-ML</v>
      </c>
      <c r="L90" s="19" t="s">
        <v>209</v>
      </c>
      <c r="M90" s="22"/>
      <c r="N90" s="22"/>
      <c r="O90" s="23">
        <v>2</v>
      </c>
      <c r="P90" s="117" cm="1">
        <f t="array" ref="P90">_xlfn.XLOOKUP(Table1[[#This Row],[UID
'[Helper']]],Table2[[#All],[UID
'[Helper']]],Table2[[#All],[Rate
DKK]],"Not found :(",0,1)</f>
        <v>900</v>
      </c>
      <c r="Q90" s="117">
        <f t="shared" si="11"/>
        <v>1800</v>
      </c>
      <c r="R90" s="118"/>
      <c r="S90" s="118"/>
    </row>
    <row r="91" spans="1:19" ht="40.5">
      <c r="A91" s="129" t="s">
        <v>92</v>
      </c>
      <c r="B91" s="129" t="s">
        <v>139</v>
      </c>
      <c r="C91" s="130" t="s">
        <v>212</v>
      </c>
      <c r="D91" s="49" t="s">
        <v>210</v>
      </c>
      <c r="E91" s="129" t="s">
        <v>46</v>
      </c>
      <c r="F91" s="132">
        <v>45693</v>
      </c>
      <c r="G91" s="133">
        <f t="shared" si="9"/>
        <v>6</v>
      </c>
      <c r="H91" s="133" t="s">
        <v>54</v>
      </c>
      <c r="I91" s="79" t="str">
        <f t="shared" si="10"/>
        <v>2-2025</v>
      </c>
      <c r="J91" s="86" t="str">
        <f>(YEAR(F91)&amp;TEXT(Table1[[#This Row],[Week]],"00"))</f>
        <v>202506</v>
      </c>
      <c r="K91" s="79" t="str">
        <f>_xlfn.TEXTJOIN("-",TRUE,Table1[[#This Row],[Client]],Table1[[#This Row],[Budget ID]],Table1[[#This Row],[Ressource
'[Initials']]])</f>
        <v>Novo Nordisk-240017-3-ML</v>
      </c>
      <c r="L91" s="19" t="s">
        <v>242</v>
      </c>
      <c r="M91" s="22"/>
      <c r="N91" s="22"/>
      <c r="O91" s="23">
        <v>11</v>
      </c>
      <c r="P91" s="117" cm="1">
        <f t="array" ref="P91">_xlfn.XLOOKUP(Table1[[#This Row],[UID
'[Helper']]],Table2[[#All],[UID
'[Helper']]],Table2[[#All],[Rate
DKK]],"Not found :(",0,1)</f>
        <v>900</v>
      </c>
      <c r="Q91" s="117">
        <f t="shared" si="11"/>
        <v>9900</v>
      </c>
      <c r="R91" s="118" t="s">
        <v>152</v>
      </c>
      <c r="S91" s="118"/>
    </row>
    <row r="92" spans="1:19" ht="27">
      <c r="A92" s="18" t="s">
        <v>143</v>
      </c>
      <c r="B92" s="18" t="s">
        <v>144</v>
      </c>
      <c r="C92" s="19"/>
      <c r="D92" s="49">
        <v>240018</v>
      </c>
      <c r="E92" s="18" t="s">
        <v>79</v>
      </c>
      <c r="F92" s="20">
        <v>45693</v>
      </c>
      <c r="G92" s="21">
        <f t="shared" si="9"/>
        <v>6</v>
      </c>
      <c r="H92" s="21" t="s">
        <v>22</v>
      </c>
      <c r="I92" s="79" t="str">
        <f t="shared" si="10"/>
        <v>2-2025</v>
      </c>
      <c r="J92" s="86" t="str">
        <f>(YEAR(F92)&amp;TEXT(Table1[[#This Row],[Week]],"00"))</f>
        <v>202506</v>
      </c>
      <c r="K92" s="79" t="str">
        <f>_xlfn.TEXTJOIN("-",TRUE,Table1[[#This Row],[Client]],Table1[[#This Row],[Budget ID]],Table1[[#This Row],[Ressource
'[Initials']]])</f>
        <v>CCRM-240018-MS</v>
      </c>
      <c r="L92" s="19" t="s">
        <v>225</v>
      </c>
      <c r="M92" s="22"/>
      <c r="N92" s="22"/>
      <c r="O92" s="23">
        <v>1.5</v>
      </c>
      <c r="P92" s="117" cm="1">
        <f t="array" ref="P92">_xlfn.XLOOKUP(Table1[[#This Row],[UID
'[Helper']]],Table2[[#All],[UID
'[Helper']]],Table2[[#All],[Rate
DKK]],"Not found :(",0,1)</f>
        <v>900</v>
      </c>
      <c r="Q92" s="117">
        <f t="shared" si="11"/>
        <v>1350</v>
      </c>
      <c r="R92" s="118"/>
      <c r="S92" s="118"/>
    </row>
    <row r="93" spans="1:19" ht="13.5">
      <c r="A93" s="134" t="s">
        <v>240</v>
      </c>
      <c r="B93" s="134" t="s">
        <v>214</v>
      </c>
      <c r="C93" s="19"/>
      <c r="D93" s="138">
        <v>250102</v>
      </c>
      <c r="E93" s="18" t="s">
        <v>79</v>
      </c>
      <c r="F93" s="136">
        <v>45693</v>
      </c>
      <c r="G93" s="21">
        <f t="shared" si="9"/>
        <v>6</v>
      </c>
      <c r="H93" s="137" t="s">
        <v>152</v>
      </c>
      <c r="I93" s="79" t="str">
        <f t="shared" si="10"/>
        <v>2-2025</v>
      </c>
      <c r="J93" s="86" t="str">
        <f>(YEAR(F93)&amp;TEXT(Table1[[#This Row],[Week]],"00"))</f>
        <v>202506</v>
      </c>
      <c r="K93" s="79" t="str">
        <f>_xlfn.TEXTJOIN("-",TRUE,Table1[[#This Row],[Client]],Table1[[#This Row],[Budget ID]],Table1[[#This Row],[Ressource
'[Initials']]])</f>
        <v>Evodiabio-250102-BIM Mgnt.</v>
      </c>
      <c r="L93" s="135" t="s">
        <v>241</v>
      </c>
      <c r="M93" s="22"/>
      <c r="N93" s="22"/>
      <c r="O93" s="139">
        <v>3.5</v>
      </c>
      <c r="P93" s="117" cm="1">
        <f t="array" ref="P93">_xlfn.XLOOKUP(Table1[[#This Row],[UID
'[Helper']]],Table2[[#All],[UID
'[Helper']]],Table2[[#All],[Rate
DKK]],"Not found :(",0,1)</f>
        <v>900</v>
      </c>
      <c r="Q93" s="117">
        <f t="shared" si="11"/>
        <v>3150</v>
      </c>
      <c r="R93" s="118"/>
      <c r="S93" s="118"/>
    </row>
    <row r="94" spans="1:19" ht="13.5">
      <c r="A94" s="128" t="s">
        <v>92</v>
      </c>
      <c r="B94" s="128" t="s">
        <v>139</v>
      </c>
      <c r="C94" s="127" t="s">
        <v>212</v>
      </c>
      <c r="D94" s="49" t="s">
        <v>210</v>
      </c>
      <c r="E94" s="128" t="s">
        <v>46</v>
      </c>
      <c r="F94" s="126">
        <v>45694</v>
      </c>
      <c r="G94" s="21">
        <f t="shared" si="9"/>
        <v>6</v>
      </c>
      <c r="H94" s="21" t="s">
        <v>20</v>
      </c>
      <c r="I94" s="79" t="str">
        <f t="shared" si="10"/>
        <v>2-2025</v>
      </c>
      <c r="J94" s="86" t="str">
        <f>(YEAR(F94)&amp;TEXT(Table1[[#This Row],[Week]],"00"))</f>
        <v>202506</v>
      </c>
      <c r="K94" s="79" t="str">
        <f>_xlfn.TEXTJOIN("-",TRUE,Table1[[#This Row],[Client]],Table1[[#This Row],[Budget ID]],Table1[[#This Row],[Ressource
'[Initials']]])</f>
        <v>Novo Nordisk-240017-3-DS</v>
      </c>
      <c r="L94" s="19" t="s">
        <v>226</v>
      </c>
      <c r="M94" s="22"/>
      <c r="N94" s="22"/>
      <c r="O94" s="23">
        <v>7.5</v>
      </c>
      <c r="P94" s="117" cm="1">
        <f t="array" ref="P94">_xlfn.XLOOKUP(Table1[[#This Row],[UID
'[Helper']]],Table2[[#All],[UID
'[Helper']]],Table2[[#All],[Rate
DKK]],"Not found :(",0,1)</f>
        <v>900</v>
      </c>
      <c r="Q94" s="117">
        <f t="shared" si="11"/>
        <v>6750</v>
      </c>
      <c r="R94" s="118"/>
      <c r="S94" s="118"/>
    </row>
    <row r="95" spans="1:19" ht="13.5">
      <c r="A95" s="128" t="s">
        <v>92</v>
      </c>
      <c r="B95" s="128" t="s">
        <v>208</v>
      </c>
      <c r="C95" s="127" t="s">
        <v>206</v>
      </c>
      <c r="D95" s="49">
        <v>250101</v>
      </c>
      <c r="E95" s="128" t="s">
        <v>46</v>
      </c>
      <c r="F95" s="126">
        <v>45694</v>
      </c>
      <c r="G95" s="21">
        <f t="shared" si="9"/>
        <v>6</v>
      </c>
      <c r="H95" s="21" t="s">
        <v>20</v>
      </c>
      <c r="I95" s="79" t="str">
        <f t="shared" si="10"/>
        <v>2-2025</v>
      </c>
      <c r="J95" s="86" t="str">
        <f>(YEAR(F95)&amp;TEXT(Table1[[#This Row],[Week]],"00"))</f>
        <v>202506</v>
      </c>
      <c r="K95" s="79" t="str">
        <f>_xlfn.TEXTJOIN("-",TRUE,Table1[[#This Row],[Client]],Table1[[#This Row],[Budget ID]],Table1[[#This Row],[Ressource
'[Initials']]])</f>
        <v>Novo Nordisk-250101-DS</v>
      </c>
      <c r="L95" s="19" t="s">
        <v>227</v>
      </c>
      <c r="M95" s="22"/>
      <c r="N95" s="22"/>
      <c r="O95" s="23">
        <v>5.5</v>
      </c>
      <c r="P95" s="117" cm="1">
        <f t="array" ref="P95">_xlfn.XLOOKUP(Table1[[#This Row],[UID
'[Helper']]],Table2[[#All],[UID
'[Helper']]],Table2[[#All],[Rate
DKK]],"Not found :(",0,1)</f>
        <v>900</v>
      </c>
      <c r="Q95" s="117">
        <f t="shared" si="11"/>
        <v>4950</v>
      </c>
      <c r="R95" s="118"/>
      <c r="S95" s="118"/>
    </row>
    <row r="96" spans="1:19" ht="13.5">
      <c r="A96" s="18" t="s">
        <v>17</v>
      </c>
      <c r="B96" s="18" t="s">
        <v>95</v>
      </c>
      <c r="C96" s="19" t="s">
        <v>158</v>
      </c>
      <c r="D96" s="49" t="s">
        <v>146</v>
      </c>
      <c r="E96" s="18" t="s">
        <v>46</v>
      </c>
      <c r="F96" s="20">
        <v>45694</v>
      </c>
      <c r="G96" s="21">
        <f t="shared" si="9"/>
        <v>6</v>
      </c>
      <c r="H96" s="21" t="s">
        <v>20</v>
      </c>
      <c r="I96" s="79" t="str">
        <f t="shared" si="10"/>
        <v>2-2025</v>
      </c>
      <c r="J96" s="86" t="str">
        <f>(YEAR(F96)&amp;TEXT(Table1[[#This Row],[Week]],"00"))</f>
        <v>202506</v>
      </c>
      <c r="K96" s="79" t="str">
        <f>_xlfn.TEXTJOIN("-",TRUE,Table1[[#This Row],[Client]],Table1[[#This Row],[Budget ID]],Table1[[#This Row],[Ressource
'[Initials']]])</f>
        <v>RH Arkitekter-240005-1-DS</v>
      </c>
      <c r="L96" s="19" t="s">
        <v>228</v>
      </c>
      <c r="M96" s="22"/>
      <c r="N96" s="22"/>
      <c r="O96" s="23">
        <v>1.5</v>
      </c>
      <c r="P96" s="117" cm="1">
        <f t="array" ref="P96">_xlfn.XLOOKUP(Table1[[#This Row],[UID
'[Helper']]],Table2[[#All],[UID
'[Helper']]],Table2[[#All],[Rate
DKK]],"Not found :(",0,1)</f>
        <v>900</v>
      </c>
      <c r="Q96" s="117">
        <f t="shared" si="11"/>
        <v>1350</v>
      </c>
      <c r="R96" s="118"/>
      <c r="S96" s="118"/>
    </row>
    <row r="97" spans="1:19" ht="13.5">
      <c r="A97" s="18" t="s">
        <v>14</v>
      </c>
      <c r="B97" s="18" t="s">
        <v>24</v>
      </c>
      <c r="C97" s="19" t="s">
        <v>71</v>
      </c>
      <c r="D97" s="49" t="s">
        <v>218</v>
      </c>
      <c r="E97" s="18" t="s">
        <v>73</v>
      </c>
      <c r="F97" s="20">
        <v>45694</v>
      </c>
      <c r="G97" s="21">
        <f t="shared" si="9"/>
        <v>6</v>
      </c>
      <c r="H97" s="21" t="s">
        <v>22</v>
      </c>
      <c r="I97" s="79" t="str">
        <f t="shared" si="10"/>
        <v>2-2025</v>
      </c>
      <c r="J97" s="86" t="str">
        <f>(YEAR(F97)&amp;TEXT(Table1[[#This Row],[Week]],"00"))</f>
        <v>202506</v>
      </c>
      <c r="K97" s="79" t="str">
        <f>_xlfn.TEXTJOIN("-",TRUE,Table1[[#This Row],[Client]],Table1[[#This Row],[Budget ID]],Table1[[#This Row],[Ressource
'[Initials']]])</f>
        <v>Labflex-230003-1-MS</v>
      </c>
      <c r="L97" s="19" t="s">
        <v>232</v>
      </c>
      <c r="M97" s="22"/>
      <c r="N97" s="22"/>
      <c r="O97" s="23">
        <v>2.5</v>
      </c>
      <c r="P97" s="117" cm="1">
        <f t="array" ref="P97">_xlfn.XLOOKUP(Table1[[#This Row],[UID
'[Helper']]],Table2[[#All],[UID
'[Helper']]],Table2[[#All],[Rate
DKK]],"Not found :(",0,1)</f>
        <v>900</v>
      </c>
      <c r="Q97" s="117">
        <f t="shared" si="11"/>
        <v>2250</v>
      </c>
      <c r="R97" s="118"/>
      <c r="S97" s="118"/>
    </row>
    <row r="98" spans="1:19" ht="13.5">
      <c r="A98" s="18" t="s">
        <v>14</v>
      </c>
      <c r="B98" s="18" t="s">
        <v>24</v>
      </c>
      <c r="C98" s="19" t="s">
        <v>72</v>
      </c>
      <c r="D98" s="49" t="s">
        <v>218</v>
      </c>
      <c r="E98" s="18" t="s">
        <v>73</v>
      </c>
      <c r="F98" s="20">
        <v>45694</v>
      </c>
      <c r="G98" s="21">
        <f t="shared" si="9"/>
        <v>6</v>
      </c>
      <c r="H98" s="21" t="s">
        <v>22</v>
      </c>
      <c r="I98" s="79" t="str">
        <f t="shared" si="10"/>
        <v>2-2025</v>
      </c>
      <c r="J98" s="86" t="str">
        <f>(YEAR(F98)&amp;TEXT(Table1[[#This Row],[Week]],"00"))</f>
        <v>202506</v>
      </c>
      <c r="K98" s="79" t="str">
        <f>_xlfn.TEXTJOIN("-",TRUE,Table1[[#This Row],[Client]],Table1[[#This Row],[Budget ID]],Table1[[#This Row],[Ressource
'[Initials']]])</f>
        <v>Labflex-230003-1-MS</v>
      </c>
      <c r="L98" s="19" t="s">
        <v>232</v>
      </c>
      <c r="M98" s="22"/>
      <c r="N98" s="22"/>
      <c r="O98" s="23">
        <v>2.5</v>
      </c>
      <c r="P98" s="117" cm="1">
        <f t="array" ref="P98">_xlfn.XLOOKUP(Table1[[#This Row],[UID
'[Helper']]],Table2[[#All],[UID
'[Helper']]],Table2[[#All],[Rate
DKK]],"Not found :(",0,1)</f>
        <v>900</v>
      </c>
      <c r="Q98" s="117">
        <f t="shared" si="11"/>
        <v>2250</v>
      </c>
      <c r="R98" s="118"/>
      <c r="S98" s="118"/>
    </row>
    <row r="99" spans="1:19" ht="13.5">
      <c r="A99" s="18" t="s">
        <v>14</v>
      </c>
      <c r="B99" s="18" t="s">
        <v>24</v>
      </c>
      <c r="C99" s="19" t="s">
        <v>71</v>
      </c>
      <c r="D99" s="49" t="s">
        <v>218</v>
      </c>
      <c r="E99" s="18" t="s">
        <v>37</v>
      </c>
      <c r="F99" s="20">
        <v>45694</v>
      </c>
      <c r="G99" s="21">
        <f t="shared" si="9"/>
        <v>6</v>
      </c>
      <c r="H99" s="21" t="s">
        <v>22</v>
      </c>
      <c r="I99" s="79" t="str">
        <f t="shared" si="10"/>
        <v>2-2025</v>
      </c>
      <c r="J99" s="86" t="str">
        <f>(YEAR(F99)&amp;TEXT(Table1[[#This Row],[Week]],"00"))</f>
        <v>202506</v>
      </c>
      <c r="K99" s="79" t="str">
        <f>_xlfn.TEXTJOIN("-",TRUE,Table1[[#This Row],[Client]],Table1[[#This Row],[Budget ID]],Table1[[#This Row],[Ressource
'[Initials']]])</f>
        <v>Labflex-230003-1-MS</v>
      </c>
      <c r="L99" s="19" t="s">
        <v>233</v>
      </c>
      <c r="M99" s="22"/>
      <c r="N99" s="22"/>
      <c r="O99" s="23">
        <v>1.5</v>
      </c>
      <c r="P99" s="117" cm="1">
        <f t="array" ref="P99">_xlfn.XLOOKUP(Table1[[#This Row],[UID
'[Helper']]],Table2[[#All],[UID
'[Helper']]],Table2[[#All],[Rate
DKK]],"Not found :(",0,1)</f>
        <v>900</v>
      </c>
      <c r="Q99" s="117">
        <f t="shared" si="11"/>
        <v>1350</v>
      </c>
      <c r="R99" s="118"/>
      <c r="S99" s="118"/>
    </row>
    <row r="100" spans="1:19" ht="13.5">
      <c r="A100" s="18" t="s">
        <v>14</v>
      </c>
      <c r="B100" s="18" t="s">
        <v>24</v>
      </c>
      <c r="C100" s="19" t="s">
        <v>72</v>
      </c>
      <c r="D100" s="49" t="s">
        <v>218</v>
      </c>
      <c r="E100" s="18" t="s">
        <v>37</v>
      </c>
      <c r="F100" s="20">
        <v>45694</v>
      </c>
      <c r="G100" s="21">
        <f t="shared" si="9"/>
        <v>6</v>
      </c>
      <c r="H100" s="21" t="s">
        <v>22</v>
      </c>
      <c r="I100" s="79" t="str">
        <f t="shared" si="10"/>
        <v>2-2025</v>
      </c>
      <c r="J100" s="86" t="str">
        <f>(YEAR(F100)&amp;TEXT(Table1[[#This Row],[Week]],"00"))</f>
        <v>202506</v>
      </c>
      <c r="K100" s="79" t="str">
        <f>_xlfn.TEXTJOIN("-",TRUE,Table1[[#This Row],[Client]],Table1[[#This Row],[Budget ID]],Table1[[#This Row],[Ressource
'[Initials']]])</f>
        <v>Labflex-230003-1-MS</v>
      </c>
      <c r="L100" s="19" t="s">
        <v>233</v>
      </c>
      <c r="M100" s="22"/>
      <c r="N100" s="22"/>
      <c r="O100" s="23">
        <v>1.5</v>
      </c>
      <c r="P100" s="117" cm="1">
        <f t="array" ref="P100">_xlfn.XLOOKUP(Table1[[#This Row],[UID
'[Helper']]],Table2[[#All],[UID
'[Helper']]],Table2[[#All],[Rate
DKK]],"Not found :(",0,1)</f>
        <v>900</v>
      </c>
      <c r="Q100" s="117">
        <f t="shared" si="11"/>
        <v>1350</v>
      </c>
      <c r="R100" s="118"/>
      <c r="S100" s="118"/>
    </row>
    <row r="101" spans="1:19" ht="27">
      <c r="A101" s="18" t="s">
        <v>92</v>
      </c>
      <c r="B101" s="18" t="s">
        <v>139</v>
      </c>
      <c r="C101" s="19" t="s">
        <v>212</v>
      </c>
      <c r="D101" s="49" t="s">
        <v>210</v>
      </c>
      <c r="E101" s="18" t="s">
        <v>46</v>
      </c>
      <c r="F101" s="20">
        <v>45694</v>
      </c>
      <c r="G101" s="21">
        <f t="shared" si="9"/>
        <v>6</v>
      </c>
      <c r="H101" s="21" t="s">
        <v>22</v>
      </c>
      <c r="I101" s="79" t="str">
        <f t="shared" si="10"/>
        <v>2-2025</v>
      </c>
      <c r="J101" s="86" t="str">
        <f>(YEAR(F101)&amp;TEXT(Table1[[#This Row],[Week]],"00"))</f>
        <v>202506</v>
      </c>
      <c r="K101" s="79" t="str">
        <f>_xlfn.TEXTJOIN("-",TRUE,Table1[[#This Row],[Client]],Table1[[#This Row],[Budget ID]],Table1[[#This Row],[Ressource
'[Initials']]])</f>
        <v>Novo Nordisk-240017-3-MS</v>
      </c>
      <c r="L101" s="19" t="s">
        <v>229</v>
      </c>
      <c r="M101" s="22"/>
      <c r="N101" s="22"/>
      <c r="O101" s="23">
        <v>2</v>
      </c>
      <c r="P101" s="117" cm="1">
        <f t="array" ref="P101">_xlfn.XLOOKUP(Table1[[#This Row],[UID
'[Helper']]],Table2[[#All],[UID
'[Helper']]],Table2[[#All],[Rate
DKK]],"Not found :(",0,1)</f>
        <v>900</v>
      </c>
      <c r="Q101" s="117">
        <f t="shared" si="11"/>
        <v>1800</v>
      </c>
      <c r="R101" s="118"/>
      <c r="S101" s="118"/>
    </row>
    <row r="102" spans="1:19" ht="27">
      <c r="A102" s="18" t="s">
        <v>92</v>
      </c>
      <c r="B102" s="18" t="s">
        <v>208</v>
      </c>
      <c r="C102" s="19" t="s">
        <v>206</v>
      </c>
      <c r="D102" s="49">
        <v>250101</v>
      </c>
      <c r="E102" s="18" t="s">
        <v>46</v>
      </c>
      <c r="F102" s="20">
        <v>45694</v>
      </c>
      <c r="G102" s="21">
        <f t="shared" si="9"/>
        <v>6</v>
      </c>
      <c r="H102" s="21" t="s">
        <v>22</v>
      </c>
      <c r="I102" s="79" t="str">
        <f t="shared" si="10"/>
        <v>2-2025</v>
      </c>
      <c r="J102" s="86" t="str">
        <f>(YEAR(F102)&amp;TEXT(Table1[[#This Row],[Week]],"00"))</f>
        <v>202506</v>
      </c>
      <c r="K102" s="79" t="str">
        <f>_xlfn.TEXTJOIN("-",TRUE,Table1[[#This Row],[Client]],Table1[[#This Row],[Budget ID]],Table1[[#This Row],[Ressource
'[Initials']]])</f>
        <v>Novo Nordisk-250101-MS</v>
      </c>
      <c r="L102" s="19" t="s">
        <v>230</v>
      </c>
      <c r="M102" s="22"/>
      <c r="N102" s="22"/>
      <c r="O102" s="23">
        <v>2.5</v>
      </c>
      <c r="P102" s="117" cm="1">
        <f t="array" ref="P102">_xlfn.XLOOKUP(Table1[[#This Row],[UID
'[Helper']]],Table2[[#All],[UID
'[Helper']]],Table2[[#All],[Rate
DKK]],"Not found :(",0,1)</f>
        <v>900</v>
      </c>
      <c r="Q102" s="117">
        <f t="shared" si="11"/>
        <v>2250</v>
      </c>
      <c r="R102" s="118"/>
      <c r="S102" s="118"/>
    </row>
    <row r="103" spans="1:19" ht="13.5">
      <c r="A103" s="18" t="s">
        <v>17</v>
      </c>
      <c r="B103" s="18" t="s">
        <v>95</v>
      </c>
      <c r="C103" s="19" t="s">
        <v>158</v>
      </c>
      <c r="D103" s="49" t="s">
        <v>146</v>
      </c>
      <c r="E103" s="18" t="s">
        <v>46</v>
      </c>
      <c r="F103" s="20">
        <v>45694</v>
      </c>
      <c r="G103" s="21">
        <f t="shared" si="9"/>
        <v>6</v>
      </c>
      <c r="H103" s="21" t="s">
        <v>22</v>
      </c>
      <c r="I103" s="79" t="str">
        <f t="shared" si="10"/>
        <v>2-2025</v>
      </c>
      <c r="J103" s="86" t="str">
        <f>(YEAR(F103)&amp;TEXT(Table1[[#This Row],[Week]],"00"))</f>
        <v>202506</v>
      </c>
      <c r="K103" s="79" t="str">
        <f>_xlfn.TEXTJOIN("-",TRUE,Table1[[#This Row],[Client]],Table1[[#This Row],[Budget ID]],Table1[[#This Row],[Ressource
'[Initials']]])</f>
        <v>RH Arkitekter-240005-1-MS</v>
      </c>
      <c r="L103" s="19" t="s">
        <v>231</v>
      </c>
      <c r="M103" s="22"/>
      <c r="N103" s="22"/>
      <c r="O103" s="23">
        <v>3</v>
      </c>
      <c r="P103" s="117" cm="1">
        <f t="array" ref="P103">_xlfn.XLOOKUP(Table1[[#This Row],[UID
'[Helper']]],Table2[[#All],[UID
'[Helper']]],Table2[[#All],[Rate
DKK]],"Not found :(",0,1)</f>
        <v>900</v>
      </c>
      <c r="Q103" s="117">
        <f t="shared" si="11"/>
        <v>2700</v>
      </c>
      <c r="R103" s="118"/>
      <c r="S103" s="118"/>
    </row>
    <row r="104" spans="1:19" ht="13.5">
      <c r="A104" s="18" t="s">
        <v>14</v>
      </c>
      <c r="B104" s="18" t="s">
        <v>24</v>
      </c>
      <c r="C104" s="19" t="s">
        <v>207</v>
      </c>
      <c r="D104" s="49" t="s">
        <v>218</v>
      </c>
      <c r="E104" s="18" t="s">
        <v>46</v>
      </c>
      <c r="F104" s="20">
        <v>45694</v>
      </c>
      <c r="G104" s="21">
        <f t="shared" si="9"/>
        <v>6</v>
      </c>
      <c r="H104" s="21" t="s">
        <v>22</v>
      </c>
      <c r="I104" s="79" t="str">
        <f t="shared" si="10"/>
        <v>2-2025</v>
      </c>
      <c r="J104" s="86" t="str">
        <f>(YEAR(F104)&amp;TEXT(Table1[[#This Row],[Week]],"00"))</f>
        <v>202506</v>
      </c>
      <c r="K104" s="79" t="str">
        <f>_xlfn.TEXTJOIN("-",TRUE,Table1[[#This Row],[Client]],Table1[[#This Row],[Budget ID]],Table1[[#This Row],[Ressource
'[Initials']]])</f>
        <v>Labflex-230003-1-MS</v>
      </c>
      <c r="L104" s="19" t="s">
        <v>235</v>
      </c>
      <c r="M104" s="22"/>
      <c r="N104" s="22"/>
      <c r="O104" s="23">
        <v>2.5</v>
      </c>
      <c r="P104" s="117" cm="1">
        <f t="array" ref="P104">_xlfn.XLOOKUP(Table1[[#This Row],[UID
'[Helper']]],Table2[[#All],[UID
'[Helper']]],Table2[[#All],[Rate
DKK]],"Not found :(",0,1)</f>
        <v>900</v>
      </c>
      <c r="Q104" s="117">
        <f t="shared" si="11"/>
        <v>2250</v>
      </c>
      <c r="R104" s="118"/>
      <c r="S104" s="118"/>
    </row>
    <row r="105" spans="1:19" ht="13.5">
      <c r="A105" s="18" t="s">
        <v>14</v>
      </c>
      <c r="B105" s="18" t="s">
        <v>24</v>
      </c>
      <c r="C105" s="19" t="s">
        <v>213</v>
      </c>
      <c r="D105" s="49" t="s">
        <v>218</v>
      </c>
      <c r="E105" s="18" t="s">
        <v>73</v>
      </c>
      <c r="F105" s="20">
        <v>45694</v>
      </c>
      <c r="G105" s="21">
        <f t="shared" si="9"/>
        <v>6</v>
      </c>
      <c r="H105" s="21" t="s">
        <v>22</v>
      </c>
      <c r="I105" s="79" t="str">
        <f t="shared" si="10"/>
        <v>2-2025</v>
      </c>
      <c r="J105" s="86" t="str">
        <f>(YEAR(F105)&amp;TEXT(Table1[[#This Row],[Week]],"00"))</f>
        <v>202506</v>
      </c>
      <c r="K105" s="79" t="str">
        <f>_xlfn.TEXTJOIN("-",TRUE,Table1[[#This Row],[Client]],Table1[[#This Row],[Budget ID]],Table1[[#This Row],[Ressource
'[Initials']]])</f>
        <v>Labflex-230003-1-MS</v>
      </c>
      <c r="L105" s="19" t="s">
        <v>234</v>
      </c>
      <c r="M105" s="22"/>
      <c r="N105" s="22"/>
      <c r="O105" s="23">
        <v>1</v>
      </c>
      <c r="P105" s="117" cm="1">
        <f t="array" ref="P105">_xlfn.XLOOKUP(Table1[[#This Row],[UID
'[Helper']]],Table2[[#All],[UID
'[Helper']]],Table2[[#All],[Rate
DKK]],"Not found :(",0,1)</f>
        <v>900</v>
      </c>
      <c r="Q105" s="117">
        <f t="shared" si="11"/>
        <v>900</v>
      </c>
      <c r="R105" s="118"/>
      <c r="S105" s="118"/>
    </row>
    <row r="106" spans="1:19" ht="13.5">
      <c r="A106" s="129" t="s">
        <v>107</v>
      </c>
      <c r="B106" s="129" t="s">
        <v>154</v>
      </c>
      <c r="C106" s="130"/>
      <c r="D106" s="131">
        <v>240022</v>
      </c>
      <c r="E106" s="129" t="s">
        <v>37</v>
      </c>
      <c r="F106" s="132">
        <v>45694</v>
      </c>
      <c r="G106" s="133">
        <f t="shared" si="9"/>
        <v>6</v>
      </c>
      <c r="H106" s="133" t="s">
        <v>54</v>
      </c>
      <c r="I106" s="79" t="str">
        <f t="shared" si="10"/>
        <v>2-2025</v>
      </c>
      <c r="J106" s="86" t="str">
        <f>(YEAR(F106)&amp;TEXT(Table1[[#This Row],[Week]],"00"))</f>
        <v>202506</v>
      </c>
      <c r="K106" s="79" t="str">
        <f>_xlfn.TEXTJOIN("-",TRUE,Table1[[#This Row],[Client]],Table1[[#This Row],[Budget ID]],Table1[[#This Row],[Ressource
'[Initials']]])</f>
        <v>Zystm-240022-ML</v>
      </c>
      <c r="L106" s="19" t="s">
        <v>236</v>
      </c>
      <c r="M106" s="22"/>
      <c r="N106" s="22"/>
      <c r="O106" s="23">
        <v>2</v>
      </c>
      <c r="P106" s="117" cm="1">
        <f t="array" ref="P106">_xlfn.XLOOKUP(Table1[[#This Row],[UID
'[Helper']]],Table2[[#All],[UID
'[Helper']]],Table2[[#All],[Rate
DKK]],"Not found :(",0,1)</f>
        <v>850</v>
      </c>
      <c r="Q106" s="117">
        <f t="shared" si="11"/>
        <v>1700</v>
      </c>
      <c r="R106" s="118"/>
      <c r="S106" s="118"/>
    </row>
    <row r="107" spans="1:19" ht="13.5">
      <c r="A107" s="129" t="s">
        <v>107</v>
      </c>
      <c r="B107" s="129" t="s">
        <v>153</v>
      </c>
      <c r="C107" s="130"/>
      <c r="D107" s="131">
        <v>240021</v>
      </c>
      <c r="E107" s="129" t="s">
        <v>37</v>
      </c>
      <c r="F107" s="132">
        <v>45694</v>
      </c>
      <c r="G107" s="133">
        <f t="shared" si="9"/>
        <v>6</v>
      </c>
      <c r="H107" s="133" t="s">
        <v>54</v>
      </c>
      <c r="I107" s="79" t="str">
        <f t="shared" si="10"/>
        <v>2-2025</v>
      </c>
      <c r="J107" s="86" t="str">
        <f>(YEAR(F107)&amp;TEXT(Table1[[#This Row],[Week]],"00"))</f>
        <v>202506</v>
      </c>
      <c r="K107" s="79" t="str">
        <f>_xlfn.TEXTJOIN("-",TRUE,Table1[[#This Row],[Client]],Table1[[#This Row],[Budget ID]],Table1[[#This Row],[Ressource
'[Initials']]])</f>
        <v>Zystm-240021-ML</v>
      </c>
      <c r="L107" s="19" t="s">
        <v>237</v>
      </c>
      <c r="M107" s="22"/>
      <c r="N107" s="22"/>
      <c r="O107" s="23">
        <v>1</v>
      </c>
      <c r="P107" s="117" cm="1">
        <f t="array" ref="P107">_xlfn.XLOOKUP(Table1[[#This Row],[UID
'[Helper']]],Table2[[#All],[UID
'[Helper']]],Table2[[#All],[Rate
DKK]],"Not found :(",0,1)</f>
        <v>850</v>
      </c>
      <c r="Q107" s="117">
        <f t="shared" si="11"/>
        <v>850</v>
      </c>
      <c r="R107" s="118"/>
      <c r="S107" s="118"/>
    </row>
    <row r="108" spans="1:19" ht="13.5">
      <c r="A108" s="129" t="s">
        <v>14</v>
      </c>
      <c r="B108" s="129" t="s">
        <v>24</v>
      </c>
      <c r="C108" s="130" t="s">
        <v>207</v>
      </c>
      <c r="D108" s="49" t="s">
        <v>218</v>
      </c>
      <c r="E108" s="129" t="s">
        <v>46</v>
      </c>
      <c r="F108" s="132">
        <v>45694</v>
      </c>
      <c r="G108" s="133">
        <f t="shared" si="9"/>
        <v>6</v>
      </c>
      <c r="H108" s="133" t="s">
        <v>54</v>
      </c>
      <c r="I108" s="79" t="str">
        <f t="shared" si="10"/>
        <v>2-2025</v>
      </c>
      <c r="J108" s="86" t="str">
        <f>(YEAR(F108)&amp;TEXT(Table1[[#This Row],[Week]],"00"))</f>
        <v>202506</v>
      </c>
      <c r="K108" s="79" t="str">
        <f>_xlfn.TEXTJOIN("-",TRUE,Table1[[#This Row],[Client]],Table1[[#This Row],[Budget ID]],Table1[[#This Row],[Ressource
'[Initials']]])</f>
        <v>Labflex-230003-1-ML</v>
      </c>
      <c r="L108" s="19" t="s">
        <v>209</v>
      </c>
      <c r="M108" s="22"/>
      <c r="N108" s="22"/>
      <c r="O108" s="23">
        <v>2</v>
      </c>
      <c r="P108" s="117" cm="1">
        <f t="array" ref="P108">_xlfn.XLOOKUP(Table1[[#This Row],[UID
'[Helper']]],Table2[[#All],[UID
'[Helper']]],Table2[[#All],[Rate
DKK]],"Not found :(",0,1)</f>
        <v>900</v>
      </c>
      <c r="Q108" s="117">
        <f t="shared" si="11"/>
        <v>1800</v>
      </c>
      <c r="R108" s="118"/>
      <c r="S108" s="118"/>
    </row>
    <row r="109" spans="1:19" ht="13.5">
      <c r="A109" s="129" t="s">
        <v>92</v>
      </c>
      <c r="B109" s="129" t="s">
        <v>139</v>
      </c>
      <c r="C109" s="130" t="s">
        <v>212</v>
      </c>
      <c r="D109" s="49" t="s">
        <v>210</v>
      </c>
      <c r="E109" s="129" t="s">
        <v>46</v>
      </c>
      <c r="F109" s="132">
        <v>45694</v>
      </c>
      <c r="G109" s="133">
        <f t="shared" si="9"/>
        <v>6</v>
      </c>
      <c r="H109" s="133" t="s">
        <v>54</v>
      </c>
      <c r="I109" s="79" t="str">
        <f t="shared" si="10"/>
        <v>2-2025</v>
      </c>
      <c r="J109" s="86" t="str">
        <f>(YEAR(F109)&amp;TEXT(Table1[[#This Row],[Week]],"00"))</f>
        <v>202506</v>
      </c>
      <c r="K109" s="79" t="str">
        <f>_xlfn.TEXTJOIN("-",TRUE,Table1[[#This Row],[Client]],Table1[[#This Row],[Budget ID]],Table1[[#This Row],[Ressource
'[Initials']]])</f>
        <v>Novo Nordisk-240017-3-ML</v>
      </c>
      <c r="L109" s="19" t="s">
        <v>243</v>
      </c>
      <c r="M109" s="22"/>
      <c r="N109" s="22"/>
      <c r="O109" s="23">
        <f>8.5+3</f>
        <v>11.5</v>
      </c>
      <c r="P109" s="117" cm="1">
        <f t="array" ref="P109">_xlfn.XLOOKUP(Table1[[#This Row],[UID
'[Helper']]],Table2[[#All],[UID
'[Helper']]],Table2[[#All],[Rate
DKK]],"Not found :(",0,1)</f>
        <v>900</v>
      </c>
      <c r="Q109" s="117">
        <f t="shared" si="11"/>
        <v>10350</v>
      </c>
      <c r="R109" s="118" t="s">
        <v>152</v>
      </c>
      <c r="S109" s="118"/>
    </row>
    <row r="110" spans="1:19" ht="13.5">
      <c r="A110" s="128" t="s">
        <v>16</v>
      </c>
      <c r="B110" s="128" t="s">
        <v>214</v>
      </c>
      <c r="C110" s="127"/>
      <c r="D110" s="49">
        <v>250102</v>
      </c>
      <c r="E110" s="128" t="s">
        <v>46</v>
      </c>
      <c r="F110" s="20">
        <v>45694</v>
      </c>
      <c r="G110" s="21">
        <f t="shared" si="9"/>
        <v>6</v>
      </c>
      <c r="H110" s="21" t="s">
        <v>20</v>
      </c>
      <c r="I110" s="79" t="str">
        <f t="shared" si="10"/>
        <v>2-2025</v>
      </c>
      <c r="J110" s="86" t="str">
        <f>(YEAR(F110)&amp;TEXT(Table1[[#This Row],[Week]],"00"))</f>
        <v>202506</v>
      </c>
      <c r="K110" s="79" t="str">
        <f>_xlfn.TEXTJOIN("-",TRUE,Table1[[#This Row],[Client]],Table1[[#This Row],[Budget ID]],Table1[[#This Row],[Ressource
'[Initials']]])</f>
        <v>EvodiaBio-250102-DS</v>
      </c>
      <c r="L110" s="19" t="s">
        <v>238</v>
      </c>
      <c r="M110" s="22"/>
      <c r="N110" s="22"/>
      <c r="O110" s="23">
        <v>0.5</v>
      </c>
      <c r="P110" s="117" cm="1">
        <f t="array" ref="P110">_xlfn.XLOOKUP(Table1[[#This Row],[UID
'[Helper']]],Table2[[#All],[UID
'[Helper']]],Table2[[#All],[Rate
DKK]],"Not found :(",0,1)</f>
        <v>900</v>
      </c>
      <c r="Q110" s="117">
        <f t="shared" si="11"/>
        <v>450</v>
      </c>
      <c r="R110" s="118"/>
      <c r="S110" s="118"/>
    </row>
    <row r="111" spans="1:19" ht="13.5">
      <c r="A111" s="18" t="s">
        <v>14</v>
      </c>
      <c r="B111" s="18" t="s">
        <v>24</v>
      </c>
      <c r="C111" s="19" t="s">
        <v>71</v>
      </c>
      <c r="D111" s="49" t="s">
        <v>218</v>
      </c>
      <c r="E111" s="18" t="s">
        <v>73</v>
      </c>
      <c r="F111" s="20">
        <v>45694</v>
      </c>
      <c r="G111" s="21">
        <f t="shared" si="9"/>
        <v>6</v>
      </c>
      <c r="H111" s="21" t="s">
        <v>22</v>
      </c>
      <c r="I111" s="79" t="str">
        <f t="shared" si="10"/>
        <v>2-2025</v>
      </c>
      <c r="J111" s="86" t="str">
        <f>(YEAR(F111)&amp;TEXT(Table1[[#This Row],[Week]],"00"))</f>
        <v>202506</v>
      </c>
      <c r="K111" s="79" t="str">
        <f>_xlfn.TEXTJOIN("-",TRUE,Table1[[#This Row],[Client]],Table1[[#This Row],[Budget ID]],Table1[[#This Row],[Ressource
'[Initials']]])</f>
        <v>Labflex-230003-1-MS</v>
      </c>
      <c r="L111" s="19" t="s">
        <v>239</v>
      </c>
      <c r="M111" s="22"/>
      <c r="N111" s="22"/>
      <c r="O111" s="23">
        <v>0.5</v>
      </c>
      <c r="P111" s="117" cm="1">
        <f t="array" ref="P111">_xlfn.XLOOKUP(Table1[[#This Row],[UID
'[Helper']]],Table2[[#All],[UID
'[Helper']]],Table2[[#All],[Rate
DKK]],"Not found :(",0,1)</f>
        <v>900</v>
      </c>
      <c r="Q111" s="117">
        <f t="shared" si="11"/>
        <v>450</v>
      </c>
      <c r="R111" s="118"/>
      <c r="S111" s="118"/>
    </row>
    <row r="112" spans="1:19" ht="13.5">
      <c r="A112" s="18" t="s">
        <v>14</v>
      </c>
      <c r="B112" s="18" t="s">
        <v>24</v>
      </c>
      <c r="C112" s="19" t="s">
        <v>72</v>
      </c>
      <c r="D112" s="49" t="s">
        <v>218</v>
      </c>
      <c r="E112" s="18" t="s">
        <v>73</v>
      </c>
      <c r="F112" s="20">
        <v>45694</v>
      </c>
      <c r="G112" s="21">
        <f t="shared" ref="G112" si="12">WEEKNUM($F112,21)</f>
        <v>6</v>
      </c>
      <c r="H112" s="21" t="s">
        <v>22</v>
      </c>
      <c r="I112" s="79" t="str">
        <f t="shared" si="10"/>
        <v>2-2025</v>
      </c>
      <c r="J112" s="86" t="str">
        <f>(YEAR(F112)&amp;TEXT(Table1[[#This Row],[Week]],"00"))</f>
        <v>202506</v>
      </c>
      <c r="K112" s="79" t="str">
        <f>_xlfn.TEXTJOIN("-",TRUE,Table1[[#This Row],[Client]],Table1[[#This Row],[Budget ID]],Table1[[#This Row],[Ressource
'[Initials']]])</f>
        <v>Labflex-230003-1-MS</v>
      </c>
      <c r="L112" s="19" t="s">
        <v>239</v>
      </c>
      <c r="M112" s="22"/>
      <c r="N112" s="22"/>
      <c r="O112" s="23">
        <v>0.5</v>
      </c>
      <c r="P112" s="117" cm="1">
        <f t="array" ref="P112">_xlfn.XLOOKUP(Table1[[#This Row],[UID
'[Helper']]],Table2[[#All],[UID
'[Helper']]],Table2[[#All],[Rate
DKK]],"Not found :(",0,1)</f>
        <v>900</v>
      </c>
      <c r="Q112" s="117">
        <f t="shared" si="11"/>
        <v>450</v>
      </c>
      <c r="R112" s="118"/>
      <c r="S112" s="118"/>
    </row>
    <row r="113" spans="1:19" ht="27">
      <c r="A113" s="140" t="s">
        <v>92</v>
      </c>
      <c r="B113" s="140" t="s">
        <v>139</v>
      </c>
      <c r="C113" s="141" t="s">
        <v>158</v>
      </c>
      <c r="D113" s="49" t="s">
        <v>217</v>
      </c>
      <c r="E113" s="140" t="s">
        <v>46</v>
      </c>
      <c r="F113" s="142">
        <v>45747</v>
      </c>
      <c r="G113" s="143">
        <f t="shared" ref="G113:G133" si="13">WEEKNUM($F113,21)</f>
        <v>14</v>
      </c>
      <c r="H113" s="143" t="s">
        <v>54</v>
      </c>
      <c r="I113" s="79" t="str">
        <f t="shared" ref="I113:I137" si="14">(MONTH(F113)&amp;"-"&amp;YEAR(F113))</f>
        <v>3-2025</v>
      </c>
      <c r="J113" s="86" t="str">
        <f>(YEAR(F113)&amp;TEXT(Table1[[#This Row],[Week]],"00"))</f>
        <v>202514</v>
      </c>
      <c r="K113" s="79" t="str">
        <f>_xlfn.TEXTJOIN("-",TRUE,Table1[[#This Row],[Client]],Table1[[#This Row],[Budget ID]],Table1[[#This Row],[Ressource
'[Initials']]])</f>
        <v>Novo Nordisk-240017-4-ML</v>
      </c>
      <c r="L113" s="19" t="s">
        <v>245</v>
      </c>
      <c r="M113" s="22"/>
      <c r="N113" s="22"/>
      <c r="O113" s="23">
        <v>10</v>
      </c>
      <c r="P113" s="117" cm="1">
        <f t="array" ref="P113">_xlfn.XLOOKUP(Table1[[#This Row],[UID
'[Helper']]],Table2[[#All],[UID
'[Helper']]],Table2[[#All],[Rate
DKK]],"Not found :(",0,1)</f>
        <v>900</v>
      </c>
      <c r="Q113" s="117">
        <f t="shared" ref="Q113:Q137" si="15">IFERROR(O113*P113,0)</f>
        <v>9000</v>
      </c>
      <c r="R113" s="118"/>
      <c r="S113" s="118"/>
    </row>
    <row r="114" spans="1:19" ht="13.5">
      <c r="A114" s="140" t="s">
        <v>107</v>
      </c>
      <c r="B114" s="140" t="s">
        <v>153</v>
      </c>
      <c r="C114" s="141"/>
      <c r="D114" s="49">
        <v>240021</v>
      </c>
      <c r="E114" s="140" t="s">
        <v>37</v>
      </c>
      <c r="F114" s="142">
        <v>45747</v>
      </c>
      <c r="G114" s="143">
        <f t="shared" si="13"/>
        <v>14</v>
      </c>
      <c r="H114" s="143" t="s">
        <v>54</v>
      </c>
      <c r="I114" s="79" t="str">
        <f t="shared" si="14"/>
        <v>3-2025</v>
      </c>
      <c r="J114" s="86" t="str">
        <f>(YEAR(F114)&amp;TEXT(Table1[[#This Row],[Week]],"00"))</f>
        <v>202514</v>
      </c>
      <c r="K114" s="79" t="str">
        <f>_xlfn.TEXTJOIN("-",TRUE,Table1[[#This Row],[Client]],Table1[[#This Row],[Budget ID]],Table1[[#This Row],[Ressource
'[Initials']]])</f>
        <v>Zystm-240021-ML</v>
      </c>
      <c r="L114" s="19" t="s">
        <v>246</v>
      </c>
      <c r="M114" s="22"/>
      <c r="N114" s="22"/>
      <c r="O114" s="23">
        <v>1.5</v>
      </c>
      <c r="P114" s="117" cm="1">
        <f t="array" ref="P114">_xlfn.XLOOKUP(Table1[[#This Row],[UID
'[Helper']]],Table2[[#All],[UID
'[Helper']]],Table2[[#All],[Rate
DKK]],"Not found :(",0,1)</f>
        <v>850</v>
      </c>
      <c r="Q114" s="117">
        <f t="shared" si="15"/>
        <v>1275</v>
      </c>
      <c r="R114" s="118"/>
      <c r="S114" s="118"/>
    </row>
    <row r="115" spans="1:19" ht="13.5">
      <c r="A115" s="140" t="s">
        <v>107</v>
      </c>
      <c r="B115" s="140" t="s">
        <v>154</v>
      </c>
      <c r="C115" s="141"/>
      <c r="D115" s="49">
        <v>240022</v>
      </c>
      <c r="E115" s="140" t="s">
        <v>37</v>
      </c>
      <c r="F115" s="142">
        <v>45747</v>
      </c>
      <c r="G115" s="143">
        <f t="shared" si="13"/>
        <v>14</v>
      </c>
      <c r="H115" s="143" t="s">
        <v>54</v>
      </c>
      <c r="I115" s="79" t="str">
        <f t="shared" si="14"/>
        <v>3-2025</v>
      </c>
      <c r="J115" s="86" t="str">
        <f>(YEAR(F115)&amp;TEXT(Table1[[#This Row],[Week]],"00"))</f>
        <v>202514</v>
      </c>
      <c r="K115" s="79" t="str">
        <f>_xlfn.TEXTJOIN("-",TRUE,Table1[[#This Row],[Client]],Table1[[#This Row],[Budget ID]],Table1[[#This Row],[Ressource
'[Initials']]])</f>
        <v>Zystm-240022-ML</v>
      </c>
      <c r="L115" s="19" t="s">
        <v>247</v>
      </c>
      <c r="M115" s="22"/>
      <c r="N115" s="22"/>
      <c r="O115" s="23">
        <v>3.5</v>
      </c>
      <c r="P115" s="117" cm="1">
        <f t="array" ref="P115">_xlfn.XLOOKUP(Table1[[#This Row],[UID
'[Helper']]],Table2[[#All],[UID
'[Helper']]],Table2[[#All],[Rate
DKK]],"Not found :(",0,1)</f>
        <v>850</v>
      </c>
      <c r="Q115" s="117">
        <f t="shared" si="15"/>
        <v>2975</v>
      </c>
      <c r="R115" s="118"/>
      <c r="S115" s="118"/>
    </row>
    <row r="116" spans="1:19" ht="13.5">
      <c r="A116" s="18" t="s">
        <v>17</v>
      </c>
      <c r="B116" s="18" t="s">
        <v>95</v>
      </c>
      <c r="C116" s="19" t="s">
        <v>158</v>
      </c>
      <c r="D116" s="49" t="s">
        <v>146</v>
      </c>
      <c r="E116" s="18" t="s">
        <v>46</v>
      </c>
      <c r="F116" s="20">
        <v>45747</v>
      </c>
      <c r="G116" s="21">
        <f t="shared" si="13"/>
        <v>14</v>
      </c>
      <c r="H116" s="21" t="s">
        <v>22</v>
      </c>
      <c r="I116" s="79" t="str">
        <f t="shared" si="14"/>
        <v>3-2025</v>
      </c>
      <c r="J116" s="86" t="str">
        <f>(YEAR(F116)&amp;TEXT(Table1[[#This Row],[Week]],"00"))</f>
        <v>202514</v>
      </c>
      <c r="K116" s="79" t="str">
        <f>_xlfn.TEXTJOIN("-",TRUE,Table1[[#This Row],[Client]],Table1[[#This Row],[Budget ID]],Table1[[#This Row],[Ressource
'[Initials']]])</f>
        <v>RH Arkitekter-240005-1-MS</v>
      </c>
      <c r="L116" s="19" t="s">
        <v>253</v>
      </c>
      <c r="M116" s="22"/>
      <c r="N116" s="22"/>
      <c r="O116" s="23">
        <v>2</v>
      </c>
      <c r="P116" s="117" cm="1">
        <f t="array" ref="P116">_xlfn.XLOOKUP(Table1[[#This Row],[UID
'[Helper']]],Table2[[#All],[UID
'[Helper']]],Table2[[#All],[Rate
DKK]],"Not found :(",0,1)</f>
        <v>900</v>
      </c>
      <c r="Q116" s="117">
        <f t="shared" si="15"/>
        <v>1800</v>
      </c>
      <c r="R116" s="118"/>
      <c r="S116" s="118"/>
    </row>
    <row r="117" spans="1:19" ht="27">
      <c r="A117" s="18" t="s">
        <v>92</v>
      </c>
      <c r="B117" s="18" t="s">
        <v>208</v>
      </c>
      <c r="C117" s="19" t="s">
        <v>206</v>
      </c>
      <c r="D117" s="49">
        <v>250101</v>
      </c>
      <c r="E117" s="18" t="s">
        <v>46</v>
      </c>
      <c r="F117" s="20">
        <v>45747</v>
      </c>
      <c r="G117" s="21">
        <f t="shared" si="13"/>
        <v>14</v>
      </c>
      <c r="H117" s="21" t="s">
        <v>22</v>
      </c>
      <c r="I117" s="79" t="str">
        <f t="shared" si="14"/>
        <v>3-2025</v>
      </c>
      <c r="J117" s="86" t="str">
        <f>(YEAR(F117)&amp;TEXT(Table1[[#This Row],[Week]],"00"))</f>
        <v>202514</v>
      </c>
      <c r="K117" s="79" t="str">
        <f>_xlfn.TEXTJOIN("-",TRUE,Table1[[#This Row],[Client]],Table1[[#This Row],[Budget ID]],Table1[[#This Row],[Ressource
'[Initials']]])</f>
        <v>Novo Nordisk-250101-MS</v>
      </c>
      <c r="L117" s="19" t="s">
        <v>255</v>
      </c>
      <c r="M117" s="22"/>
      <c r="N117" s="22"/>
      <c r="O117" s="23">
        <v>4.5</v>
      </c>
      <c r="P117" s="117" cm="1">
        <f t="array" ref="P117">_xlfn.XLOOKUP(Table1[[#This Row],[UID
'[Helper']]],Table2[[#All],[UID
'[Helper']]],Table2[[#All],[Rate
DKK]],"Not found :(",0,1)</f>
        <v>900</v>
      </c>
      <c r="Q117" s="117">
        <f t="shared" si="15"/>
        <v>4050</v>
      </c>
      <c r="R117" s="118"/>
      <c r="S117" s="118"/>
    </row>
    <row r="118" spans="1:19" ht="13.5">
      <c r="A118" s="18" t="s">
        <v>14</v>
      </c>
      <c r="B118" s="18" t="s">
        <v>24</v>
      </c>
      <c r="C118" s="19" t="s">
        <v>71</v>
      </c>
      <c r="D118" s="49" t="s">
        <v>218</v>
      </c>
      <c r="E118" s="18" t="s">
        <v>37</v>
      </c>
      <c r="F118" s="20">
        <v>45747</v>
      </c>
      <c r="G118" s="21">
        <f t="shared" si="13"/>
        <v>14</v>
      </c>
      <c r="H118" s="21" t="s">
        <v>22</v>
      </c>
      <c r="I118" s="79" t="str">
        <f t="shared" si="14"/>
        <v>3-2025</v>
      </c>
      <c r="J118" s="86" t="str">
        <f>(YEAR(F118)&amp;TEXT(Table1[[#This Row],[Week]],"00"))</f>
        <v>202514</v>
      </c>
      <c r="K118" s="79" t="str">
        <f>_xlfn.TEXTJOIN("-",TRUE,Table1[[#This Row],[Client]],Table1[[#This Row],[Budget ID]],Table1[[#This Row],[Ressource
'[Initials']]])</f>
        <v>Labflex-230003-1-MS</v>
      </c>
      <c r="L118" s="19" t="s">
        <v>249</v>
      </c>
      <c r="M118" s="22"/>
      <c r="N118" s="22"/>
      <c r="O118" s="23">
        <v>1.5</v>
      </c>
      <c r="P118" s="117" cm="1">
        <f t="array" ref="P118">_xlfn.XLOOKUP(Table1[[#This Row],[UID
'[Helper']]],Table2[[#All],[UID
'[Helper']]],Table2[[#All],[Rate
DKK]],"Not found :(",0,1)</f>
        <v>900</v>
      </c>
      <c r="Q118" s="117">
        <f t="shared" si="15"/>
        <v>1350</v>
      </c>
      <c r="R118" s="118"/>
      <c r="S118" s="118"/>
    </row>
    <row r="119" spans="1:19" ht="13.5">
      <c r="A119" s="18" t="s">
        <v>14</v>
      </c>
      <c r="B119" s="18" t="s">
        <v>24</v>
      </c>
      <c r="C119" s="19" t="s">
        <v>72</v>
      </c>
      <c r="D119" s="49" t="s">
        <v>218</v>
      </c>
      <c r="E119" s="18" t="s">
        <v>37</v>
      </c>
      <c r="F119" s="20">
        <v>45747</v>
      </c>
      <c r="G119" s="21">
        <f t="shared" si="13"/>
        <v>14</v>
      </c>
      <c r="H119" s="21" t="s">
        <v>22</v>
      </c>
      <c r="I119" s="79" t="str">
        <f t="shared" si="14"/>
        <v>3-2025</v>
      </c>
      <c r="J119" s="86" t="str">
        <f>(YEAR(F119)&amp;TEXT(Table1[[#This Row],[Week]],"00"))</f>
        <v>202514</v>
      </c>
      <c r="K119" s="79" t="str">
        <f>_xlfn.TEXTJOIN("-",TRUE,Table1[[#This Row],[Client]],Table1[[#This Row],[Budget ID]],Table1[[#This Row],[Ressource
'[Initials']]])</f>
        <v>Labflex-230003-1-MS</v>
      </c>
      <c r="L119" s="19" t="s">
        <v>249</v>
      </c>
      <c r="M119" s="22"/>
      <c r="N119" s="22"/>
      <c r="O119" s="23">
        <v>1</v>
      </c>
      <c r="P119" s="117" cm="1">
        <f t="array" ref="P119">_xlfn.XLOOKUP(Table1[[#This Row],[UID
'[Helper']]],Table2[[#All],[UID
'[Helper']]],Table2[[#All],[Rate
DKK]],"Not found :(",0,1)</f>
        <v>900</v>
      </c>
      <c r="Q119" s="117">
        <f t="shared" si="15"/>
        <v>900</v>
      </c>
      <c r="R119" s="118"/>
      <c r="S119" s="118"/>
    </row>
    <row r="120" spans="1:19" ht="27">
      <c r="A120" s="18" t="s">
        <v>14</v>
      </c>
      <c r="B120" s="18" t="s">
        <v>24</v>
      </c>
      <c r="C120" s="19" t="s">
        <v>71</v>
      </c>
      <c r="D120" s="49" t="s">
        <v>218</v>
      </c>
      <c r="E120" s="18" t="s">
        <v>73</v>
      </c>
      <c r="F120" s="20">
        <v>45747</v>
      </c>
      <c r="G120" s="21">
        <f t="shared" si="13"/>
        <v>14</v>
      </c>
      <c r="H120" s="21" t="s">
        <v>22</v>
      </c>
      <c r="I120" s="79" t="str">
        <f t="shared" si="14"/>
        <v>3-2025</v>
      </c>
      <c r="J120" s="86" t="str">
        <f>(YEAR(F120)&amp;TEXT(Table1[[#This Row],[Week]],"00"))</f>
        <v>202514</v>
      </c>
      <c r="K120" s="79" t="str">
        <f>_xlfn.TEXTJOIN("-",TRUE,Table1[[#This Row],[Client]],Table1[[#This Row],[Budget ID]],Table1[[#This Row],[Ressource
'[Initials']]])</f>
        <v>Labflex-230003-1-MS</v>
      </c>
      <c r="L120" s="19" t="s">
        <v>248</v>
      </c>
      <c r="M120" s="22"/>
      <c r="N120" s="22"/>
      <c r="O120" s="23">
        <v>0.5</v>
      </c>
      <c r="P120" s="117" cm="1">
        <f t="array" ref="P120">_xlfn.XLOOKUP(Table1[[#This Row],[UID
'[Helper']]],Table2[[#All],[UID
'[Helper']]],Table2[[#All],[Rate
DKK]],"Not found :(",0,1)</f>
        <v>900</v>
      </c>
      <c r="Q120" s="117">
        <f t="shared" si="15"/>
        <v>450</v>
      </c>
      <c r="R120" s="118"/>
      <c r="S120" s="118"/>
    </row>
    <row r="121" spans="1:19" ht="27">
      <c r="A121" s="18" t="s">
        <v>14</v>
      </c>
      <c r="B121" s="18" t="s">
        <v>24</v>
      </c>
      <c r="C121" s="19" t="s">
        <v>72</v>
      </c>
      <c r="D121" s="49" t="s">
        <v>218</v>
      </c>
      <c r="E121" s="18" t="s">
        <v>73</v>
      </c>
      <c r="F121" s="20">
        <v>45747</v>
      </c>
      <c r="G121" s="21">
        <f t="shared" si="13"/>
        <v>14</v>
      </c>
      <c r="H121" s="21" t="s">
        <v>22</v>
      </c>
      <c r="I121" s="79" t="str">
        <f t="shared" si="14"/>
        <v>3-2025</v>
      </c>
      <c r="J121" s="86" t="str">
        <f>(YEAR(F121)&amp;TEXT(Table1[[#This Row],[Week]],"00"))</f>
        <v>202514</v>
      </c>
      <c r="K121" s="79" t="str">
        <f>_xlfn.TEXTJOIN("-",TRUE,Table1[[#This Row],[Client]],Table1[[#This Row],[Budget ID]],Table1[[#This Row],[Ressource
'[Initials']]])</f>
        <v>Labflex-230003-1-MS</v>
      </c>
      <c r="L121" s="19" t="s">
        <v>248</v>
      </c>
      <c r="M121" s="22"/>
      <c r="N121" s="22"/>
      <c r="O121" s="23">
        <v>0.5</v>
      </c>
      <c r="P121" s="117" cm="1">
        <f t="array" ref="P121">_xlfn.XLOOKUP(Table1[[#This Row],[UID
'[Helper']]],Table2[[#All],[UID
'[Helper']]],Table2[[#All],[Rate
DKK]],"Not found :(",0,1)</f>
        <v>900</v>
      </c>
      <c r="Q121" s="117">
        <f t="shared" si="15"/>
        <v>450</v>
      </c>
      <c r="R121" s="118"/>
      <c r="S121" s="118"/>
    </row>
    <row r="122" spans="1:19" ht="27">
      <c r="A122" s="18" t="s">
        <v>92</v>
      </c>
      <c r="B122" s="18" t="s">
        <v>139</v>
      </c>
      <c r="C122" s="19" t="s">
        <v>158</v>
      </c>
      <c r="D122" s="49" t="s">
        <v>217</v>
      </c>
      <c r="E122" s="18" t="s">
        <v>46</v>
      </c>
      <c r="F122" s="20">
        <v>45747</v>
      </c>
      <c r="G122" s="21">
        <f t="shared" si="13"/>
        <v>14</v>
      </c>
      <c r="H122" s="21" t="s">
        <v>22</v>
      </c>
      <c r="I122" s="79" t="str">
        <f t="shared" si="14"/>
        <v>3-2025</v>
      </c>
      <c r="J122" s="86" t="str">
        <f>(YEAR(F122)&amp;TEXT(Table1[[#This Row],[Week]],"00"))</f>
        <v>202514</v>
      </c>
      <c r="K122" s="79" t="str">
        <f>_xlfn.TEXTJOIN("-",TRUE,Table1[[#This Row],[Client]],Table1[[#This Row],[Budget ID]],Table1[[#This Row],[Ressource
'[Initials']]])</f>
        <v>Novo Nordisk-240017-4-MS</v>
      </c>
      <c r="L122" s="19" t="s">
        <v>252</v>
      </c>
      <c r="M122" s="22"/>
      <c r="N122" s="22"/>
      <c r="O122" s="23">
        <v>2</v>
      </c>
      <c r="P122" s="117" cm="1">
        <f t="array" ref="P122">_xlfn.XLOOKUP(Table1[[#This Row],[UID
'[Helper']]],Table2[[#All],[UID
'[Helper']]],Table2[[#All],[Rate
DKK]],"Not found :(",0,1)</f>
        <v>900</v>
      </c>
      <c r="Q122" s="117">
        <f t="shared" si="15"/>
        <v>1800</v>
      </c>
      <c r="R122" s="118"/>
      <c r="S122" s="118"/>
    </row>
    <row r="123" spans="1:19" ht="13.5">
      <c r="A123" s="18" t="s">
        <v>52</v>
      </c>
      <c r="B123" s="18" t="s">
        <v>58</v>
      </c>
      <c r="C123" s="19" t="s">
        <v>65</v>
      </c>
      <c r="D123" s="49">
        <v>240001</v>
      </c>
      <c r="E123" s="18" t="s">
        <v>37</v>
      </c>
      <c r="F123" s="20">
        <v>45747</v>
      </c>
      <c r="G123" s="21">
        <f t="shared" si="13"/>
        <v>14</v>
      </c>
      <c r="H123" s="21" t="s">
        <v>22</v>
      </c>
      <c r="I123" s="79" t="str">
        <f t="shared" si="14"/>
        <v>3-2025</v>
      </c>
      <c r="J123" s="86" t="str">
        <f>(YEAR(F123)&amp;TEXT(Table1[[#This Row],[Week]],"00"))</f>
        <v>202514</v>
      </c>
      <c r="K123" s="79" t="str">
        <f>_xlfn.TEXTJOIN("-",TRUE,Table1[[#This Row],[Client]],Table1[[#This Row],[Budget ID]],Table1[[#This Row],[Ressource
'[Initials']]])</f>
        <v>Lab-Vent-240001-MS</v>
      </c>
      <c r="L123" s="19" t="s">
        <v>251</v>
      </c>
      <c r="M123" s="22"/>
      <c r="N123" s="22"/>
      <c r="O123" s="23">
        <v>1.5</v>
      </c>
      <c r="P123" s="117" cm="1">
        <f t="array" ref="P123">_xlfn.XLOOKUP(Table1[[#This Row],[UID
'[Helper']]],Table2[[#All],[UID
'[Helper']]],Table2[[#All],[Rate
DKK]],"Not found :(",0,1)</f>
        <v>800</v>
      </c>
      <c r="Q123" s="117">
        <f t="shared" si="15"/>
        <v>1200</v>
      </c>
      <c r="R123" s="118"/>
      <c r="S123" s="118"/>
    </row>
    <row r="124" spans="1:19" ht="13.5">
      <c r="A124" s="18" t="s">
        <v>143</v>
      </c>
      <c r="B124" s="18" t="s">
        <v>144</v>
      </c>
      <c r="C124" s="19"/>
      <c r="D124" s="49">
        <v>240018</v>
      </c>
      <c r="E124" s="18" t="s">
        <v>79</v>
      </c>
      <c r="F124" s="20">
        <v>45747</v>
      </c>
      <c r="G124" s="21">
        <f t="shared" si="13"/>
        <v>14</v>
      </c>
      <c r="H124" s="21" t="s">
        <v>22</v>
      </c>
      <c r="I124" s="79" t="str">
        <f t="shared" si="14"/>
        <v>3-2025</v>
      </c>
      <c r="J124" s="86" t="str">
        <f>(YEAR(F124)&amp;TEXT(Table1[[#This Row],[Week]],"00"))</f>
        <v>202514</v>
      </c>
      <c r="K124" s="79" t="str">
        <f>_xlfn.TEXTJOIN("-",TRUE,Table1[[#This Row],[Client]],Table1[[#This Row],[Budget ID]],Table1[[#This Row],[Ressource
'[Initials']]])</f>
        <v>CCRM-240018-MS</v>
      </c>
      <c r="L124" s="19" t="s">
        <v>250</v>
      </c>
      <c r="M124" s="22"/>
      <c r="N124" s="22"/>
      <c r="O124" s="23">
        <v>1.5</v>
      </c>
      <c r="P124" s="117" cm="1">
        <f t="array" ref="P124">_xlfn.XLOOKUP(Table1[[#This Row],[UID
'[Helper']]],Table2[[#All],[UID
'[Helper']]],Table2[[#All],[Rate
DKK]],"Not found :(",0,1)</f>
        <v>900</v>
      </c>
      <c r="Q124" s="117">
        <f t="shared" si="15"/>
        <v>1350</v>
      </c>
      <c r="R124" s="118"/>
      <c r="S124" s="118"/>
    </row>
    <row r="125" spans="1:19" ht="13.5">
      <c r="A125" s="18" t="s">
        <v>16</v>
      </c>
      <c r="B125" s="18" t="s">
        <v>214</v>
      </c>
      <c r="C125" s="19"/>
      <c r="D125" s="49">
        <v>250102</v>
      </c>
      <c r="E125" s="18" t="s">
        <v>46</v>
      </c>
      <c r="F125" s="20">
        <v>45747</v>
      </c>
      <c r="G125" s="21">
        <f t="shared" si="13"/>
        <v>14</v>
      </c>
      <c r="H125" s="21" t="s">
        <v>22</v>
      </c>
      <c r="I125" s="79" t="str">
        <f t="shared" si="14"/>
        <v>3-2025</v>
      </c>
      <c r="J125" s="86" t="str">
        <f>(YEAR(F125)&amp;TEXT(Table1[[#This Row],[Week]],"00"))</f>
        <v>202514</v>
      </c>
      <c r="K125" s="79" t="str">
        <f>_xlfn.TEXTJOIN("-",TRUE,Table1[[#This Row],[Client]],Table1[[#This Row],[Budget ID]],Table1[[#This Row],[Ressource
'[Initials']]])</f>
        <v>EvodiaBio-250102-MS</v>
      </c>
      <c r="L125" s="19" t="s">
        <v>254</v>
      </c>
      <c r="M125" s="22"/>
      <c r="N125" s="22"/>
      <c r="O125" s="23">
        <v>0.5</v>
      </c>
      <c r="P125" s="117" cm="1">
        <f t="array" ref="P125">_xlfn.XLOOKUP(Table1[[#This Row],[UID
'[Helper']]],Table2[[#All],[UID
'[Helper']]],Table2[[#All],[Rate
DKK]],"Not found :(",0,1)</f>
        <v>900</v>
      </c>
      <c r="Q125" s="117">
        <f t="shared" si="15"/>
        <v>450</v>
      </c>
      <c r="R125" s="118"/>
      <c r="S125" s="118"/>
    </row>
    <row r="126" spans="1:19" ht="13.5">
      <c r="A126" s="18" t="s">
        <v>16</v>
      </c>
      <c r="B126" s="18" t="s">
        <v>214</v>
      </c>
      <c r="C126" s="19"/>
      <c r="D126" s="49">
        <v>250102</v>
      </c>
      <c r="E126" s="18" t="s">
        <v>46</v>
      </c>
      <c r="F126" s="20">
        <v>45747</v>
      </c>
      <c r="G126" s="21">
        <f t="shared" si="13"/>
        <v>14</v>
      </c>
      <c r="H126" s="21" t="s">
        <v>20</v>
      </c>
      <c r="I126" s="79" t="str">
        <f t="shared" si="14"/>
        <v>3-2025</v>
      </c>
      <c r="J126" s="86" t="str">
        <f>(YEAR(F126)&amp;TEXT(Table1[[#This Row],[Week]],"00"))</f>
        <v>202514</v>
      </c>
      <c r="K126" s="79" t="str">
        <f>_xlfn.TEXTJOIN("-",TRUE,Table1[[#This Row],[Client]],Table1[[#This Row],[Budget ID]],Table1[[#This Row],[Ressource
'[Initials']]])</f>
        <v>EvodiaBio-250102-DS</v>
      </c>
      <c r="L126" s="19" t="s">
        <v>256</v>
      </c>
      <c r="M126" s="22"/>
      <c r="N126" s="22"/>
      <c r="O126" s="23">
        <v>3</v>
      </c>
      <c r="P126" s="117" cm="1">
        <f t="array" ref="P126">_xlfn.XLOOKUP(Table1[[#This Row],[UID
'[Helper']]],Table2[[#All],[UID
'[Helper']]],Table2[[#All],[Rate
DKK]],"Not found :(",0,1)</f>
        <v>900</v>
      </c>
      <c r="Q126" s="117">
        <f t="shared" si="15"/>
        <v>2700</v>
      </c>
      <c r="R126" s="118"/>
      <c r="S126" s="118"/>
    </row>
    <row r="127" spans="1:19" ht="27">
      <c r="A127" s="18" t="s">
        <v>92</v>
      </c>
      <c r="B127" s="18" t="s">
        <v>208</v>
      </c>
      <c r="C127" s="19" t="s">
        <v>206</v>
      </c>
      <c r="D127" s="49">
        <v>250101</v>
      </c>
      <c r="E127" s="18" t="s">
        <v>46</v>
      </c>
      <c r="F127" s="20">
        <v>45747</v>
      </c>
      <c r="G127" s="21">
        <f t="shared" si="13"/>
        <v>14</v>
      </c>
      <c r="H127" s="21" t="s">
        <v>20</v>
      </c>
      <c r="I127" s="79" t="str">
        <f t="shared" si="14"/>
        <v>3-2025</v>
      </c>
      <c r="J127" s="86" t="str">
        <f>(YEAR(F127)&amp;TEXT(Table1[[#This Row],[Week]],"00"))</f>
        <v>202514</v>
      </c>
      <c r="K127" s="79" t="str">
        <f>_xlfn.TEXTJOIN("-",TRUE,Table1[[#This Row],[Client]],Table1[[#This Row],[Budget ID]],Table1[[#This Row],[Ressource
'[Initials']]])</f>
        <v>Novo Nordisk-250101-DS</v>
      </c>
      <c r="L127" s="19" t="s">
        <v>258</v>
      </c>
      <c r="M127" s="22"/>
      <c r="N127" s="22"/>
      <c r="O127" s="23">
        <v>7.5</v>
      </c>
      <c r="P127" s="117" cm="1">
        <f t="array" ref="P127">_xlfn.XLOOKUP(Table1[[#This Row],[UID
'[Helper']]],Table2[[#All],[UID
'[Helper']]],Table2[[#All],[Rate
DKK]],"Not found :(",0,1)</f>
        <v>900</v>
      </c>
      <c r="Q127" s="117">
        <f t="shared" si="15"/>
        <v>6750</v>
      </c>
      <c r="R127" s="118"/>
      <c r="S127" s="118"/>
    </row>
    <row r="128" spans="1:19" ht="13.5">
      <c r="A128" s="18" t="s">
        <v>17</v>
      </c>
      <c r="B128" s="18" t="s">
        <v>95</v>
      </c>
      <c r="C128" s="19" t="s">
        <v>158</v>
      </c>
      <c r="D128" s="49" t="s">
        <v>146</v>
      </c>
      <c r="E128" s="18" t="s">
        <v>46</v>
      </c>
      <c r="F128" s="20">
        <v>45747</v>
      </c>
      <c r="G128" s="21">
        <f t="shared" si="13"/>
        <v>14</v>
      </c>
      <c r="H128" s="21" t="s">
        <v>20</v>
      </c>
      <c r="I128" s="79" t="str">
        <f t="shared" si="14"/>
        <v>3-2025</v>
      </c>
      <c r="J128" s="86" t="str">
        <f>(YEAR(F128)&amp;TEXT(Table1[[#This Row],[Week]],"00"))</f>
        <v>202514</v>
      </c>
      <c r="K128" s="79" t="str">
        <f>_xlfn.TEXTJOIN("-",TRUE,Table1[[#This Row],[Client]],Table1[[#This Row],[Budget ID]],Table1[[#This Row],[Ressource
'[Initials']]])</f>
        <v>RH Arkitekter-240005-1-DS</v>
      </c>
      <c r="L128" s="19" t="s">
        <v>257</v>
      </c>
      <c r="M128" s="22"/>
      <c r="N128" s="22"/>
      <c r="O128" s="23">
        <v>1.5</v>
      </c>
      <c r="P128" s="117" cm="1">
        <f t="array" ref="P128">_xlfn.XLOOKUP(Table1[[#This Row],[UID
'[Helper']]],Table2[[#All],[UID
'[Helper']]],Table2[[#All],[Rate
DKK]],"Not found :(",0,1)</f>
        <v>900</v>
      </c>
      <c r="Q128" s="117">
        <f t="shared" si="15"/>
        <v>1350</v>
      </c>
      <c r="R128" s="118"/>
      <c r="S128" s="118"/>
    </row>
    <row r="129" spans="1:19" ht="13.5">
      <c r="A129" s="18" t="s">
        <v>17</v>
      </c>
      <c r="B129" s="18" t="s">
        <v>95</v>
      </c>
      <c r="C129" s="19" t="s">
        <v>158</v>
      </c>
      <c r="D129" s="49" t="s">
        <v>146</v>
      </c>
      <c r="E129" s="18" t="s">
        <v>46</v>
      </c>
      <c r="F129" s="20">
        <v>45748</v>
      </c>
      <c r="G129" s="21">
        <f t="shared" si="13"/>
        <v>14</v>
      </c>
      <c r="H129" s="21" t="s">
        <v>22</v>
      </c>
      <c r="I129" s="79" t="str">
        <f t="shared" si="14"/>
        <v>4-2025</v>
      </c>
      <c r="J129" s="86" t="str">
        <f>(YEAR(F129)&amp;TEXT(Table1[[#This Row],[Week]],"00"))</f>
        <v>202514</v>
      </c>
      <c r="K129" s="79" t="str">
        <f>_xlfn.TEXTJOIN("-",TRUE,Table1[[#This Row],[Client]],Table1[[#This Row],[Budget ID]],Table1[[#This Row],[Ressource
'[Initials']]])</f>
        <v>RH Arkitekter-240005-1-MS</v>
      </c>
      <c r="L129" s="19" t="s">
        <v>261</v>
      </c>
      <c r="M129" s="22"/>
      <c r="N129" s="22"/>
      <c r="O129" s="23">
        <v>2.5</v>
      </c>
      <c r="P129" s="117" cm="1">
        <f t="array" ref="P129">_xlfn.XLOOKUP(Table1[[#This Row],[UID
'[Helper']]],Table2[[#All],[UID
'[Helper']]],Table2[[#All],[Rate
DKK]],"Not found :(",0,1)</f>
        <v>900</v>
      </c>
      <c r="Q129" s="117">
        <f t="shared" si="15"/>
        <v>2250</v>
      </c>
      <c r="R129" s="118"/>
      <c r="S129" s="118"/>
    </row>
    <row r="130" spans="1:19" ht="13.5">
      <c r="A130" s="18" t="s">
        <v>92</v>
      </c>
      <c r="B130" s="18" t="s">
        <v>208</v>
      </c>
      <c r="C130" s="19" t="s">
        <v>206</v>
      </c>
      <c r="D130" s="49">
        <v>250101</v>
      </c>
      <c r="E130" s="18" t="s">
        <v>46</v>
      </c>
      <c r="F130" s="20">
        <v>45748</v>
      </c>
      <c r="G130" s="21">
        <f t="shared" si="13"/>
        <v>14</v>
      </c>
      <c r="H130" s="21" t="s">
        <v>22</v>
      </c>
      <c r="I130" s="79" t="str">
        <f t="shared" si="14"/>
        <v>4-2025</v>
      </c>
      <c r="J130" s="86" t="str">
        <f>(YEAR(F130)&amp;TEXT(Table1[[#This Row],[Week]],"00"))</f>
        <v>202514</v>
      </c>
      <c r="K130" s="79" t="str">
        <f>_xlfn.TEXTJOIN("-",TRUE,Table1[[#This Row],[Client]],Table1[[#This Row],[Budget ID]],Table1[[#This Row],[Ressource
'[Initials']]])</f>
        <v>Novo Nordisk-250101-MS</v>
      </c>
      <c r="L130" s="19" t="s">
        <v>262</v>
      </c>
      <c r="M130" s="22"/>
      <c r="N130" s="22"/>
      <c r="O130" s="23">
        <v>4</v>
      </c>
      <c r="P130" s="117" cm="1">
        <f t="array" ref="P130">_xlfn.XLOOKUP(Table1[[#This Row],[UID
'[Helper']]],Table2[[#All],[UID
'[Helper']]],Table2[[#All],[Rate
DKK]],"Not found :(",0,1)</f>
        <v>900</v>
      </c>
      <c r="Q130" s="117">
        <f t="shared" si="15"/>
        <v>3600</v>
      </c>
      <c r="R130" s="118"/>
      <c r="S130" s="118"/>
    </row>
    <row r="131" spans="1:19" ht="13.5">
      <c r="A131" s="18" t="s">
        <v>14</v>
      </c>
      <c r="B131" s="18" t="s">
        <v>24</v>
      </c>
      <c r="C131" s="19" t="s">
        <v>71</v>
      </c>
      <c r="D131" s="49" t="s">
        <v>218</v>
      </c>
      <c r="E131" s="18" t="s">
        <v>37</v>
      </c>
      <c r="F131" s="20">
        <v>45748</v>
      </c>
      <c r="G131" s="21">
        <f t="shared" si="13"/>
        <v>14</v>
      </c>
      <c r="H131" s="21" t="s">
        <v>22</v>
      </c>
      <c r="I131" s="79" t="str">
        <f t="shared" si="14"/>
        <v>4-2025</v>
      </c>
      <c r="J131" s="86" t="str">
        <f>(YEAR(F131)&amp;TEXT(Table1[[#This Row],[Week]],"00"))</f>
        <v>202514</v>
      </c>
      <c r="K131" s="79" t="str">
        <f>_xlfn.TEXTJOIN("-",TRUE,Table1[[#This Row],[Client]],Table1[[#This Row],[Budget ID]],Table1[[#This Row],[Ressource
'[Initials']]])</f>
        <v>Labflex-230003-1-MS</v>
      </c>
      <c r="L131" s="19" t="s">
        <v>263</v>
      </c>
      <c r="M131" s="22"/>
      <c r="N131" s="22"/>
      <c r="O131" s="23">
        <v>0.5</v>
      </c>
      <c r="P131" s="117" cm="1">
        <f t="array" ref="P131">_xlfn.XLOOKUP(Table1[[#This Row],[UID
'[Helper']]],Table2[[#All],[UID
'[Helper']]],Table2[[#All],[Rate
DKK]],"Not found :(",0,1)</f>
        <v>900</v>
      </c>
      <c r="Q131" s="117">
        <f t="shared" si="15"/>
        <v>450</v>
      </c>
      <c r="R131" s="118"/>
      <c r="S131" s="118"/>
    </row>
    <row r="132" spans="1:19" ht="13.5">
      <c r="A132" s="18" t="s">
        <v>14</v>
      </c>
      <c r="B132" s="18" t="s">
        <v>24</v>
      </c>
      <c r="C132" s="19" t="s">
        <v>72</v>
      </c>
      <c r="D132" s="49" t="s">
        <v>218</v>
      </c>
      <c r="E132" s="18" t="s">
        <v>37</v>
      </c>
      <c r="F132" s="20">
        <v>45748</v>
      </c>
      <c r="G132" s="21">
        <f t="shared" si="13"/>
        <v>14</v>
      </c>
      <c r="H132" s="21" t="s">
        <v>22</v>
      </c>
      <c r="I132" s="79" t="str">
        <f t="shared" si="14"/>
        <v>4-2025</v>
      </c>
      <c r="J132" s="86" t="str">
        <f>(YEAR(F132)&amp;TEXT(Table1[[#This Row],[Week]],"00"))</f>
        <v>202514</v>
      </c>
      <c r="K132" s="79" t="str">
        <f>_xlfn.TEXTJOIN("-",TRUE,Table1[[#This Row],[Client]],Table1[[#This Row],[Budget ID]],Table1[[#This Row],[Ressource
'[Initials']]])</f>
        <v>Labflex-230003-1-MS</v>
      </c>
      <c r="L132" s="19" t="s">
        <v>263</v>
      </c>
      <c r="M132" s="22"/>
      <c r="N132" s="22"/>
      <c r="O132" s="23">
        <v>0.5</v>
      </c>
      <c r="P132" s="117" cm="1">
        <f t="array" ref="P132">_xlfn.XLOOKUP(Table1[[#This Row],[UID
'[Helper']]],Table2[[#All],[UID
'[Helper']]],Table2[[#All],[Rate
DKK]],"Not found :(",0,1)</f>
        <v>900</v>
      </c>
      <c r="Q132" s="117">
        <f t="shared" si="15"/>
        <v>450</v>
      </c>
      <c r="R132" s="118"/>
      <c r="S132" s="118"/>
    </row>
    <row r="133" spans="1:19" ht="13.5">
      <c r="A133" s="18" t="s">
        <v>14</v>
      </c>
      <c r="B133" s="18" t="s">
        <v>24</v>
      </c>
      <c r="C133" s="19" t="s">
        <v>71</v>
      </c>
      <c r="D133" s="49" t="s">
        <v>218</v>
      </c>
      <c r="E133" s="18" t="s">
        <v>73</v>
      </c>
      <c r="F133" s="20">
        <v>45748</v>
      </c>
      <c r="G133" s="21">
        <f t="shared" si="13"/>
        <v>14</v>
      </c>
      <c r="H133" s="21" t="s">
        <v>22</v>
      </c>
      <c r="I133" s="79" t="str">
        <f t="shared" si="14"/>
        <v>4-2025</v>
      </c>
      <c r="J133" s="86" t="str">
        <f>(YEAR(F133)&amp;TEXT(Table1[[#This Row],[Week]],"00"))</f>
        <v>202514</v>
      </c>
      <c r="K133" s="79" t="str">
        <f>_xlfn.TEXTJOIN("-",TRUE,Table1[[#This Row],[Client]],Table1[[#This Row],[Budget ID]],Table1[[#This Row],[Ressource
'[Initials']]])</f>
        <v>Labflex-230003-1-MS</v>
      </c>
      <c r="L133" s="19" t="s">
        <v>264</v>
      </c>
      <c r="M133" s="22"/>
      <c r="N133" s="22"/>
      <c r="O133" s="23">
        <v>0.5</v>
      </c>
      <c r="P133" s="117" cm="1">
        <f t="array" ref="P133">_xlfn.XLOOKUP(Table1[[#This Row],[UID
'[Helper']]],Table2[[#All],[UID
'[Helper']]],Table2[[#All],[Rate
DKK]],"Not found :(",0,1)</f>
        <v>900</v>
      </c>
      <c r="Q133" s="117">
        <f t="shared" si="15"/>
        <v>450</v>
      </c>
      <c r="R133" s="118"/>
      <c r="S133" s="118"/>
    </row>
    <row r="134" spans="1:19" ht="13.5">
      <c r="A134" s="18" t="s">
        <v>14</v>
      </c>
      <c r="B134" s="18" t="s">
        <v>24</v>
      </c>
      <c r="C134" s="19" t="s">
        <v>72</v>
      </c>
      <c r="D134" s="49" t="s">
        <v>218</v>
      </c>
      <c r="E134" s="18" t="s">
        <v>73</v>
      </c>
      <c r="F134" s="20">
        <v>45748</v>
      </c>
      <c r="G134" s="21">
        <f t="shared" ref="G134:G137" si="16">WEEKNUM($F134,21)</f>
        <v>14</v>
      </c>
      <c r="H134" s="21" t="s">
        <v>22</v>
      </c>
      <c r="I134" s="79" t="str">
        <f t="shared" si="14"/>
        <v>4-2025</v>
      </c>
      <c r="J134" s="86" t="str">
        <f>(YEAR(F134)&amp;TEXT(Table1[[#This Row],[Week]],"00"))</f>
        <v>202514</v>
      </c>
      <c r="K134" s="79" t="str">
        <f>_xlfn.TEXTJOIN("-",TRUE,Table1[[#This Row],[Client]],Table1[[#This Row],[Budget ID]],Table1[[#This Row],[Ressource
'[Initials']]])</f>
        <v>Labflex-230003-1-MS</v>
      </c>
      <c r="L134" s="19" t="s">
        <v>264</v>
      </c>
      <c r="M134" s="22"/>
      <c r="N134" s="22"/>
      <c r="O134" s="23">
        <v>0.5</v>
      </c>
      <c r="P134" s="117" cm="1">
        <f t="array" ref="P134">_xlfn.XLOOKUP(Table1[[#This Row],[UID
'[Helper']]],Table2[[#All],[UID
'[Helper']]],Table2[[#All],[Rate
DKK]],"Not found :(",0,1)</f>
        <v>900</v>
      </c>
      <c r="Q134" s="117">
        <f t="shared" si="15"/>
        <v>450</v>
      </c>
      <c r="R134" s="118"/>
      <c r="S134" s="118"/>
    </row>
    <row r="135" spans="1:19" ht="13.5">
      <c r="A135" s="18" t="s">
        <v>92</v>
      </c>
      <c r="B135" s="18" t="s">
        <v>139</v>
      </c>
      <c r="C135" s="19" t="s">
        <v>158</v>
      </c>
      <c r="D135" s="49" t="s">
        <v>217</v>
      </c>
      <c r="E135" s="18" t="s">
        <v>46</v>
      </c>
      <c r="F135" s="20">
        <v>45748</v>
      </c>
      <c r="G135" s="21">
        <f t="shared" si="16"/>
        <v>14</v>
      </c>
      <c r="H135" s="21" t="s">
        <v>22</v>
      </c>
      <c r="I135" s="79" t="str">
        <f t="shared" si="14"/>
        <v>4-2025</v>
      </c>
      <c r="J135" s="86" t="str">
        <f>(YEAR(F135)&amp;TEXT(Table1[[#This Row],[Week]],"00"))</f>
        <v>202514</v>
      </c>
      <c r="K135" s="79" t="str">
        <f>_xlfn.TEXTJOIN("-",TRUE,Table1[[#This Row],[Client]],Table1[[#This Row],[Budget ID]],Table1[[#This Row],[Ressource
'[Initials']]])</f>
        <v>Novo Nordisk-240017-4-MS</v>
      </c>
      <c r="L135" s="19" t="s">
        <v>265</v>
      </c>
      <c r="M135" s="22"/>
      <c r="N135" s="22"/>
      <c r="O135" s="23">
        <v>2</v>
      </c>
      <c r="P135" s="117" cm="1">
        <f t="array" ref="P135">_xlfn.XLOOKUP(Table1[[#This Row],[UID
'[Helper']]],Table2[[#All],[UID
'[Helper']]],Table2[[#All],[Rate
DKK]],"Not found :(",0,1)</f>
        <v>900</v>
      </c>
      <c r="Q135" s="117">
        <f t="shared" si="15"/>
        <v>1800</v>
      </c>
      <c r="R135" s="118"/>
      <c r="S135" s="118"/>
    </row>
    <row r="136" spans="1:19" ht="27">
      <c r="A136" s="18" t="s">
        <v>52</v>
      </c>
      <c r="B136" s="18" t="s">
        <v>58</v>
      </c>
      <c r="C136" s="19" t="s">
        <v>65</v>
      </c>
      <c r="D136" s="49">
        <v>240001</v>
      </c>
      <c r="E136" s="18" t="s">
        <v>37</v>
      </c>
      <c r="F136" s="20">
        <v>45748</v>
      </c>
      <c r="G136" s="21">
        <f t="shared" si="16"/>
        <v>14</v>
      </c>
      <c r="H136" s="21" t="s">
        <v>22</v>
      </c>
      <c r="I136" s="79" t="str">
        <f t="shared" si="14"/>
        <v>4-2025</v>
      </c>
      <c r="J136" s="86" t="str">
        <f>(YEAR(F136)&amp;TEXT(Table1[[#This Row],[Week]],"00"))</f>
        <v>202514</v>
      </c>
      <c r="K136" s="79" t="str">
        <f>_xlfn.TEXTJOIN("-",TRUE,Table1[[#This Row],[Client]],Table1[[#This Row],[Budget ID]],Table1[[#This Row],[Ressource
'[Initials']]])</f>
        <v>Lab-Vent-240001-MS</v>
      </c>
      <c r="L136" s="19" t="s">
        <v>267</v>
      </c>
      <c r="M136" s="22"/>
      <c r="N136" s="22"/>
      <c r="O136" s="23">
        <v>1.5</v>
      </c>
      <c r="P136" s="117" cm="1">
        <f t="array" ref="P136">_xlfn.XLOOKUP(Table1[[#This Row],[UID
'[Helper']]],Table2[[#All],[UID
'[Helper']]],Table2[[#All],[Rate
DKK]],"Not found :(",0,1)</f>
        <v>800</v>
      </c>
      <c r="Q136" s="117">
        <f t="shared" si="15"/>
        <v>1200</v>
      </c>
      <c r="R136" s="118"/>
      <c r="S136" s="118"/>
    </row>
    <row r="137" spans="1:19" ht="13.5">
      <c r="A137" s="18" t="s">
        <v>143</v>
      </c>
      <c r="B137" s="18" t="s">
        <v>144</v>
      </c>
      <c r="C137" s="19"/>
      <c r="D137" s="49">
        <v>240018</v>
      </c>
      <c r="E137" s="18" t="s">
        <v>79</v>
      </c>
      <c r="F137" s="20">
        <v>45748</v>
      </c>
      <c r="G137" s="21">
        <f t="shared" si="16"/>
        <v>14</v>
      </c>
      <c r="H137" s="21" t="s">
        <v>22</v>
      </c>
      <c r="I137" s="79" t="str">
        <f t="shared" si="14"/>
        <v>4-2025</v>
      </c>
      <c r="J137" s="86" t="str">
        <f>(YEAR(F137)&amp;TEXT(Table1[[#This Row],[Week]],"00"))</f>
        <v>202514</v>
      </c>
      <c r="K137" s="79" t="str">
        <f>_xlfn.TEXTJOIN("-",TRUE,Table1[[#This Row],[Client]],Table1[[#This Row],[Budget ID]],Table1[[#This Row],[Ressource
'[Initials']]])</f>
        <v>CCRM-240018-MS</v>
      </c>
      <c r="L137" s="19" t="s">
        <v>266</v>
      </c>
      <c r="M137" s="22"/>
      <c r="N137" s="22"/>
      <c r="O137" s="23">
        <v>1</v>
      </c>
      <c r="P137" s="117" cm="1">
        <f t="array" ref="P137">_xlfn.XLOOKUP(Table1[[#This Row],[UID
'[Helper']]],Table2[[#All],[UID
'[Helper']]],Table2[[#All],[Rate
DKK]],"Not found :(",0,1)</f>
        <v>900</v>
      </c>
      <c r="Q137" s="117">
        <f t="shared" si="15"/>
        <v>900</v>
      </c>
      <c r="R137" s="118"/>
      <c r="S137" s="118"/>
    </row>
    <row r="138" spans="1:19" ht="13.5">
      <c r="A138" s="42" t="s">
        <v>92</v>
      </c>
      <c r="B138" s="43" t="s">
        <v>139</v>
      </c>
      <c r="C138" s="44" t="s">
        <v>281</v>
      </c>
      <c r="D138" s="71" t="s">
        <v>270</v>
      </c>
      <c r="E138" s="43" t="s">
        <v>46</v>
      </c>
      <c r="F138" s="20">
        <v>45848</v>
      </c>
      <c r="G138" s="45">
        <f t="shared" ref="G138:G184" si="17">WEEKNUM($F138,21)</f>
        <v>28</v>
      </c>
      <c r="H138" s="45" t="s">
        <v>22</v>
      </c>
      <c r="I138" s="79" t="str">
        <f t="shared" ref="I138:I148" si="18">(MONTH(F138)&amp;"-"&amp;YEAR(F138))</f>
        <v>7-2025</v>
      </c>
      <c r="J138" s="86" t="str">
        <f>(YEAR(F138)&amp;TEXT(Table1[[#This Row],[Week]],"00"))</f>
        <v>202528</v>
      </c>
      <c r="K138" s="79" t="str">
        <f>_xlfn.TEXTJOIN("-",TRUE,Table1[[#This Row],[Client]],Table1[[#This Row],[Budget ID]],Table1[[#This Row],[Ressource
'[Initials']]])</f>
        <v>Novo Nordisk-240017-5-MS</v>
      </c>
      <c r="L138" s="19" t="s">
        <v>282</v>
      </c>
      <c r="M138" s="22"/>
      <c r="N138" s="22"/>
      <c r="O138" s="23">
        <v>1</v>
      </c>
      <c r="P138" s="117" cm="1">
        <f t="array" ref="P138">_xlfn.XLOOKUP(Table1[[#This Row],[UID
'[Helper']]],Table2[[#All],[UID
'[Helper']]],Table2[[#All],[Rate
DKK]],"Not found :(",0,1)</f>
        <v>900</v>
      </c>
      <c r="Q138" s="117">
        <f t="shared" ref="Q138:Q148" si="19">IFERROR(O138*P138,0)</f>
        <v>900</v>
      </c>
      <c r="R138" s="118"/>
      <c r="S138" s="118"/>
    </row>
    <row r="139" spans="1:19" ht="27">
      <c r="A139" s="144" t="s">
        <v>107</v>
      </c>
      <c r="B139" s="144" t="s">
        <v>154</v>
      </c>
      <c r="C139" s="152"/>
      <c r="D139" s="153">
        <v>240021</v>
      </c>
      <c r="E139" s="144" t="s">
        <v>37</v>
      </c>
      <c r="F139" s="145">
        <v>45849</v>
      </c>
      <c r="G139" s="146">
        <f t="shared" si="17"/>
        <v>28</v>
      </c>
      <c r="H139" s="146" t="s">
        <v>54</v>
      </c>
      <c r="I139" s="79" t="str">
        <f t="shared" si="18"/>
        <v>7-2025</v>
      </c>
      <c r="J139" s="86" t="str">
        <f>(YEAR(F139)&amp;TEXT(Table1[[#This Row],[Week]],"00"))</f>
        <v>202528</v>
      </c>
      <c r="K139" s="79" t="str">
        <f>_xlfn.TEXTJOIN("-",TRUE,Table1[[#This Row],[Client]],Table1[[#This Row],[Budget ID]],Table1[[#This Row],[Ressource
'[Initials']]])</f>
        <v>Zystm-240021-ML</v>
      </c>
      <c r="L139" s="19" t="s">
        <v>283</v>
      </c>
      <c r="M139" s="22"/>
      <c r="N139" s="22"/>
      <c r="O139" s="23">
        <v>4</v>
      </c>
      <c r="P139" s="117" cm="1">
        <f t="array" ref="P139">_xlfn.XLOOKUP(Table1[[#This Row],[UID
'[Helper']]],Table2[[#All],[UID
'[Helper']]],Table2[[#All],[Rate
DKK]],"Not found :(",0,1)</f>
        <v>850</v>
      </c>
      <c r="Q139" s="117">
        <f t="shared" si="19"/>
        <v>3400</v>
      </c>
      <c r="R139" s="118"/>
      <c r="S139" s="118"/>
    </row>
    <row r="140" spans="1:19" ht="13.5">
      <c r="A140" s="144" t="s">
        <v>107</v>
      </c>
      <c r="B140" s="144" t="s">
        <v>153</v>
      </c>
      <c r="C140" s="152"/>
      <c r="D140" s="153">
        <v>240021</v>
      </c>
      <c r="E140" s="144" t="s">
        <v>37</v>
      </c>
      <c r="F140" s="145">
        <v>45849</v>
      </c>
      <c r="G140" s="146">
        <f t="shared" si="17"/>
        <v>28</v>
      </c>
      <c r="H140" s="146" t="s">
        <v>54</v>
      </c>
      <c r="I140" s="79" t="str">
        <f t="shared" si="18"/>
        <v>7-2025</v>
      </c>
      <c r="J140" s="86" t="str">
        <f>(YEAR(F140)&amp;TEXT(Table1[[#This Row],[Week]],"00"))</f>
        <v>202528</v>
      </c>
      <c r="K140" s="79" t="str">
        <f>_xlfn.TEXTJOIN("-",TRUE,Table1[[#This Row],[Client]],Table1[[#This Row],[Budget ID]],Table1[[#This Row],[Ressource
'[Initials']]])</f>
        <v>Zystm-240021-ML</v>
      </c>
      <c r="L140" s="19" t="s">
        <v>134</v>
      </c>
      <c r="M140" s="22"/>
      <c r="N140" s="22"/>
      <c r="O140" s="23">
        <v>0.5</v>
      </c>
      <c r="P140" s="117" cm="1">
        <f t="array" ref="P140">_xlfn.XLOOKUP(Table1[[#This Row],[UID
'[Helper']]],Table2[[#All],[UID
'[Helper']]],Table2[[#All],[Rate
DKK]],"Not found :(",0,1)</f>
        <v>850</v>
      </c>
      <c r="Q140" s="117">
        <f t="shared" si="19"/>
        <v>425</v>
      </c>
      <c r="R140" s="118"/>
      <c r="S140" s="118"/>
    </row>
    <row r="141" spans="1:19" ht="13.5">
      <c r="A141" s="144" t="s">
        <v>92</v>
      </c>
      <c r="B141" s="144" t="s">
        <v>139</v>
      </c>
      <c r="C141" s="152" t="s">
        <v>281</v>
      </c>
      <c r="D141" s="49" t="s">
        <v>270</v>
      </c>
      <c r="E141" s="144" t="s">
        <v>46</v>
      </c>
      <c r="F141" s="145">
        <v>45849</v>
      </c>
      <c r="G141" s="146">
        <f t="shared" si="17"/>
        <v>28</v>
      </c>
      <c r="H141" s="146" t="s">
        <v>54</v>
      </c>
      <c r="I141" s="79" t="str">
        <f t="shared" si="18"/>
        <v>7-2025</v>
      </c>
      <c r="J141" s="86" t="str">
        <f>(YEAR(F141)&amp;TEXT(Table1[[#This Row],[Week]],"00"))</f>
        <v>202528</v>
      </c>
      <c r="K141" s="79" t="str">
        <f>_xlfn.TEXTJOIN("-",TRUE,Table1[[#This Row],[Client]],Table1[[#This Row],[Budget ID]],Table1[[#This Row],[Ressource
'[Initials']]])</f>
        <v>Novo Nordisk-240017-5-ML</v>
      </c>
      <c r="L141" s="19" t="s">
        <v>284</v>
      </c>
      <c r="M141" s="22"/>
      <c r="N141" s="22"/>
      <c r="O141" s="23">
        <v>5</v>
      </c>
      <c r="P141" s="117" cm="1">
        <f t="array" ref="P141">_xlfn.XLOOKUP(Table1[[#This Row],[UID
'[Helper']]],Table2[[#All],[UID
'[Helper']]],Table2[[#All],[Rate
DKK]],"Not found :(",0,1)</f>
        <v>900</v>
      </c>
      <c r="Q141" s="117">
        <f t="shared" si="19"/>
        <v>4500</v>
      </c>
      <c r="R141" s="118"/>
      <c r="S141" s="118"/>
    </row>
    <row r="142" spans="1:19" ht="13.5">
      <c r="A142" s="42" t="s">
        <v>52</v>
      </c>
      <c r="B142" s="43" t="s">
        <v>272</v>
      </c>
      <c r="C142" s="44"/>
      <c r="D142" s="71">
        <v>250403</v>
      </c>
      <c r="E142" s="43" t="s">
        <v>46</v>
      </c>
      <c r="F142" s="145">
        <v>45852</v>
      </c>
      <c r="G142" s="45">
        <f t="shared" si="17"/>
        <v>29</v>
      </c>
      <c r="H142" s="45" t="s">
        <v>54</v>
      </c>
      <c r="I142" s="79" t="str">
        <f t="shared" si="18"/>
        <v>7-2025</v>
      </c>
      <c r="J142" s="86" t="str">
        <f>(YEAR(F142)&amp;TEXT(Table1[[#This Row],[Week]],"00"))</f>
        <v>202529</v>
      </c>
      <c r="K142" s="79" t="str">
        <f>_xlfn.TEXTJOIN("-",TRUE,Table1[[#This Row],[Client]],Table1[[#This Row],[Budget ID]],Table1[[#This Row],[Ressource
'[Initials']]])</f>
        <v>Lab-Vent-250403-ML</v>
      </c>
      <c r="L142" s="19" t="s">
        <v>285</v>
      </c>
      <c r="M142" s="22"/>
      <c r="N142" s="22"/>
      <c r="O142" s="23">
        <v>0.5</v>
      </c>
      <c r="P142" s="117" cm="1">
        <f t="array" ref="P142">_xlfn.XLOOKUP(Table1[[#This Row],[UID
'[Helper']]],Table2[[#All],[UID
'[Helper']]],Table2[[#All],[Rate
DKK]],"Not found :(",0,1)</f>
        <v>900</v>
      </c>
      <c r="Q142" s="117">
        <f t="shared" si="19"/>
        <v>450</v>
      </c>
      <c r="R142" s="118"/>
      <c r="S142" s="118"/>
    </row>
    <row r="143" spans="1:19" ht="13.5">
      <c r="A143" s="18" t="s">
        <v>52</v>
      </c>
      <c r="B143" s="18" t="s">
        <v>272</v>
      </c>
      <c r="C143" s="19"/>
      <c r="D143" s="49">
        <v>250403</v>
      </c>
      <c r="E143" s="18" t="s">
        <v>46</v>
      </c>
      <c r="F143" s="145">
        <v>45852</v>
      </c>
      <c r="G143" s="21">
        <f t="shared" si="17"/>
        <v>29</v>
      </c>
      <c r="H143" s="45" t="s">
        <v>279</v>
      </c>
      <c r="I143" s="79" t="str">
        <f t="shared" si="18"/>
        <v>7-2025</v>
      </c>
      <c r="J143" s="86" t="str">
        <f>(YEAR(F143)&amp;TEXT(Table1[[#This Row],[Week]],"00"))</f>
        <v>202529</v>
      </c>
      <c r="K143" s="79" t="str">
        <f>_xlfn.TEXTJOIN("-",TRUE,Table1[[#This Row],[Client]],Table1[[#This Row],[Budget ID]],Table1[[#This Row],[Ressource
'[Initials']]])</f>
        <v>Lab-Vent-250403-SM</v>
      </c>
      <c r="L143" s="19" t="s">
        <v>302</v>
      </c>
      <c r="M143" s="22"/>
      <c r="N143" s="22"/>
      <c r="O143" s="23">
        <v>6.5</v>
      </c>
      <c r="P143" s="117" cm="1">
        <f t="array" ref="P143">_xlfn.XLOOKUP(Table1[[#This Row],[UID
'[Helper']]],Table2[[#All],[UID
'[Helper']]],Table2[[#All],[Rate
DKK]],"Not found :(",0,1)</f>
        <v>400</v>
      </c>
      <c r="Q143" s="117">
        <f t="shared" si="19"/>
        <v>2600</v>
      </c>
      <c r="R143" s="118"/>
      <c r="S143" s="118"/>
    </row>
    <row r="144" spans="1:19" ht="13.5">
      <c r="A144" s="144" t="s">
        <v>92</v>
      </c>
      <c r="B144" s="144" t="s">
        <v>139</v>
      </c>
      <c r="C144" s="152" t="s">
        <v>281</v>
      </c>
      <c r="D144" s="150" t="s">
        <v>270</v>
      </c>
      <c r="E144" s="144" t="s">
        <v>46</v>
      </c>
      <c r="F144" s="145">
        <v>45852</v>
      </c>
      <c r="G144" s="146">
        <f t="shared" si="17"/>
        <v>29</v>
      </c>
      <c r="H144" s="146" t="s">
        <v>54</v>
      </c>
      <c r="I144" s="79" t="str">
        <f t="shared" si="18"/>
        <v>7-2025</v>
      </c>
      <c r="J144" s="86" t="str">
        <f>(YEAR(F144)&amp;TEXT(Table1[[#This Row],[Week]],"00"))</f>
        <v>202529</v>
      </c>
      <c r="K144" s="79" t="str">
        <f>_xlfn.TEXTJOIN("-",TRUE,Table1[[#This Row],[Client]],Table1[[#This Row],[Budget ID]],Table1[[#This Row],[Ressource
'[Initials']]])</f>
        <v>Novo Nordisk-240017-5-ML</v>
      </c>
      <c r="L144" s="19" t="s">
        <v>286</v>
      </c>
      <c r="M144" s="22"/>
      <c r="N144" s="22"/>
      <c r="O144" s="23">
        <v>9</v>
      </c>
      <c r="P144" s="117" cm="1">
        <f t="array" ref="P144">_xlfn.XLOOKUP(Table1[[#This Row],[UID
'[Helper']]],Table2[[#All],[UID
'[Helper']]],Table2[[#All],[Rate
DKK]],"Not found :(",0,1)</f>
        <v>900</v>
      </c>
      <c r="Q144" s="117">
        <f t="shared" si="19"/>
        <v>8100</v>
      </c>
      <c r="R144" s="118"/>
      <c r="S144" s="118"/>
    </row>
    <row r="145" spans="1:19" ht="13.5">
      <c r="A145" s="144" t="s">
        <v>92</v>
      </c>
      <c r="B145" s="144" t="s">
        <v>139</v>
      </c>
      <c r="C145" s="152" t="s">
        <v>281</v>
      </c>
      <c r="D145" s="150" t="s">
        <v>270</v>
      </c>
      <c r="E145" s="144" t="s">
        <v>46</v>
      </c>
      <c r="F145" s="145">
        <v>45852</v>
      </c>
      <c r="G145" s="21">
        <f t="shared" si="17"/>
        <v>29</v>
      </c>
      <c r="H145" s="21" t="s">
        <v>20</v>
      </c>
      <c r="I145" s="79" t="str">
        <f t="shared" si="18"/>
        <v>7-2025</v>
      </c>
      <c r="J145" s="86" t="str">
        <f>(YEAR(F145)&amp;TEXT(Table1[[#This Row],[Week]],"00"))</f>
        <v>202529</v>
      </c>
      <c r="K145" s="79" t="str">
        <f>_xlfn.TEXTJOIN("-",TRUE,Table1[[#This Row],[Client]],Table1[[#This Row],[Budget ID]],Table1[[#This Row],[Ressource
'[Initials']]])</f>
        <v>Novo Nordisk-240017-5-DS</v>
      </c>
      <c r="L145" s="19" t="s">
        <v>299</v>
      </c>
      <c r="M145" s="22"/>
      <c r="N145" s="22"/>
      <c r="O145" s="23">
        <v>5</v>
      </c>
      <c r="P145" s="117" cm="1">
        <f t="array" ref="P145">_xlfn.XLOOKUP(Table1[[#This Row],[UID
'[Helper']]],Table2[[#All],[UID
'[Helper']]],Table2[[#All],[Rate
DKK]],"Not found :(",0,1)</f>
        <v>900</v>
      </c>
      <c r="Q145" s="117">
        <f t="shared" si="19"/>
        <v>4500</v>
      </c>
      <c r="R145" s="118" t="s">
        <v>152</v>
      </c>
      <c r="S145" s="118"/>
    </row>
    <row r="146" spans="1:19" ht="13.5">
      <c r="A146" s="18" t="s">
        <v>52</v>
      </c>
      <c r="B146" s="18" t="s">
        <v>272</v>
      </c>
      <c r="C146" s="19"/>
      <c r="D146" s="150">
        <v>250403</v>
      </c>
      <c r="E146" s="18" t="s">
        <v>46</v>
      </c>
      <c r="F146" s="145">
        <v>45853</v>
      </c>
      <c r="G146" s="21">
        <f t="shared" si="17"/>
        <v>29</v>
      </c>
      <c r="H146" s="21" t="s">
        <v>54</v>
      </c>
      <c r="I146" s="79" t="str">
        <f t="shared" si="18"/>
        <v>7-2025</v>
      </c>
      <c r="J146" s="86" t="str">
        <f>(YEAR(F146)&amp;TEXT(Table1[[#This Row],[Week]],"00"))</f>
        <v>202529</v>
      </c>
      <c r="K146" s="79" t="str">
        <f>_xlfn.TEXTJOIN("-",TRUE,Table1[[#This Row],[Client]],Table1[[#This Row],[Budget ID]],Table1[[#This Row],[Ressource
'[Initials']]])</f>
        <v>Lab-Vent-250403-ML</v>
      </c>
      <c r="L146" s="19" t="s">
        <v>285</v>
      </c>
      <c r="M146" s="22"/>
      <c r="N146" s="22"/>
      <c r="O146" s="23">
        <v>0.5</v>
      </c>
      <c r="P146" s="117" cm="1">
        <f t="array" ref="P146">_xlfn.XLOOKUP(Table1[[#This Row],[UID
'[Helper']]],Table2[[#All],[UID
'[Helper']]],Table2[[#All],[Rate
DKK]],"Not found :(",0,1)</f>
        <v>900</v>
      </c>
      <c r="Q146" s="117">
        <f t="shared" si="19"/>
        <v>450</v>
      </c>
      <c r="R146" s="118"/>
      <c r="S146" s="118"/>
    </row>
    <row r="147" spans="1:19" ht="13.5">
      <c r="A147" s="18" t="s">
        <v>52</v>
      </c>
      <c r="B147" s="18" t="s">
        <v>272</v>
      </c>
      <c r="C147" s="19"/>
      <c r="D147" s="150">
        <v>250403</v>
      </c>
      <c r="E147" s="18" t="s">
        <v>46</v>
      </c>
      <c r="F147" s="145">
        <v>45853</v>
      </c>
      <c r="G147" s="21">
        <f t="shared" si="17"/>
        <v>29</v>
      </c>
      <c r="H147" s="21" t="s">
        <v>279</v>
      </c>
      <c r="I147" s="79" t="str">
        <f t="shared" si="18"/>
        <v>7-2025</v>
      </c>
      <c r="J147" s="86" t="str">
        <f>(YEAR(F147)&amp;TEXT(Table1[[#This Row],[Week]],"00"))</f>
        <v>202529</v>
      </c>
      <c r="K147" s="79" t="str">
        <f>_xlfn.TEXTJOIN("-",TRUE,Table1[[#This Row],[Client]],Table1[[#This Row],[Budget ID]],Table1[[#This Row],[Ressource
'[Initials']]])</f>
        <v>Lab-Vent-250403-SM</v>
      </c>
      <c r="L147" s="19" t="s">
        <v>301</v>
      </c>
      <c r="M147" s="22"/>
      <c r="N147" s="22"/>
      <c r="O147" s="23">
        <v>4</v>
      </c>
      <c r="P147" s="117" cm="1">
        <f t="array" ref="P147">_xlfn.XLOOKUP(Table1[[#This Row],[UID
'[Helper']]],Table2[[#All],[UID
'[Helper']]],Table2[[#All],[Rate
DKK]],"Not found :(",0,1)</f>
        <v>400</v>
      </c>
      <c r="Q147" s="117">
        <f t="shared" si="19"/>
        <v>1600</v>
      </c>
      <c r="R147" s="118"/>
      <c r="S147" s="118"/>
    </row>
    <row r="148" spans="1:19" ht="13.5">
      <c r="A148" s="144" t="s">
        <v>92</v>
      </c>
      <c r="B148" s="144" t="s">
        <v>139</v>
      </c>
      <c r="C148" s="152" t="s">
        <v>281</v>
      </c>
      <c r="D148" s="71" t="s">
        <v>270</v>
      </c>
      <c r="E148" s="144" t="s">
        <v>46</v>
      </c>
      <c r="F148" s="145">
        <v>45853</v>
      </c>
      <c r="G148" s="146">
        <f t="shared" si="17"/>
        <v>29</v>
      </c>
      <c r="H148" s="146" t="s">
        <v>54</v>
      </c>
      <c r="I148" s="79" t="str">
        <f t="shared" si="18"/>
        <v>7-2025</v>
      </c>
      <c r="J148" s="86" t="str">
        <f>(YEAR(F148)&amp;TEXT(Table1[[#This Row],[Week]],"00"))</f>
        <v>202529</v>
      </c>
      <c r="K148" s="79" t="str">
        <f>_xlfn.TEXTJOIN("-",TRUE,Table1[[#This Row],[Client]],Table1[[#This Row],[Budget ID]],Table1[[#This Row],[Ressource
'[Initials']]])</f>
        <v>Novo Nordisk-240017-5-ML</v>
      </c>
      <c r="L148" s="19" t="s">
        <v>287</v>
      </c>
      <c r="M148" s="22"/>
      <c r="N148" s="22"/>
      <c r="O148" s="23">
        <v>10</v>
      </c>
      <c r="P148" s="117" cm="1">
        <f t="array" ref="P148">_xlfn.XLOOKUP(Table1[[#This Row],[UID
'[Helper']]],Table2[[#All],[UID
'[Helper']]],Table2[[#All],[Rate
DKK]],"Not found :(",0,1)</f>
        <v>900</v>
      </c>
      <c r="Q148" s="117">
        <f t="shared" si="19"/>
        <v>9000</v>
      </c>
      <c r="R148" s="118"/>
      <c r="S148" s="118"/>
    </row>
    <row r="149" spans="1:19" ht="13.5">
      <c r="A149" s="144" t="s">
        <v>92</v>
      </c>
      <c r="B149" s="144" t="s">
        <v>139</v>
      </c>
      <c r="C149" s="152" t="s">
        <v>281</v>
      </c>
      <c r="D149" s="150" t="s">
        <v>270</v>
      </c>
      <c r="E149" s="144" t="s">
        <v>46</v>
      </c>
      <c r="F149" s="145">
        <v>45853</v>
      </c>
      <c r="G149" s="21">
        <f t="shared" si="17"/>
        <v>29</v>
      </c>
      <c r="H149" s="21" t="s">
        <v>20</v>
      </c>
      <c r="I149" s="79" t="str">
        <f t="shared" ref="I149:I210" si="20">(MONTH(F149)&amp;"-"&amp;YEAR(F149))</f>
        <v>7-2025</v>
      </c>
      <c r="J149" s="86" t="str">
        <f>(YEAR(F149)&amp;TEXT(Table1[[#This Row],[Week]],"00"))</f>
        <v>202529</v>
      </c>
      <c r="K149" s="79" t="str">
        <f>_xlfn.TEXTJOIN("-",TRUE,Table1[[#This Row],[Client]],Table1[[#This Row],[Budget ID]],Table1[[#This Row],[Ressource
'[Initials']]])</f>
        <v>Novo Nordisk-240017-5-DS</v>
      </c>
      <c r="L149" s="19" t="s">
        <v>299</v>
      </c>
      <c r="M149" s="22"/>
      <c r="N149" s="22"/>
      <c r="O149" s="23">
        <v>5</v>
      </c>
      <c r="P149" s="117" cm="1">
        <f t="array" ref="P149">_xlfn.XLOOKUP(Table1[[#This Row],[UID
'[Helper']]],Table2[[#All],[UID
'[Helper']]],Table2[[#All],[Rate
DKK]],"Not found :(",0,1)</f>
        <v>900</v>
      </c>
      <c r="Q149" s="117">
        <f t="shared" ref="Q149:Q210" si="21">IFERROR(O149*P149,0)</f>
        <v>4500</v>
      </c>
      <c r="R149" s="118" t="s">
        <v>152</v>
      </c>
      <c r="S149" s="118"/>
    </row>
    <row r="150" spans="1:19" ht="13.5">
      <c r="A150" s="144" t="s">
        <v>107</v>
      </c>
      <c r="B150" s="144" t="s">
        <v>154</v>
      </c>
      <c r="C150" s="152"/>
      <c r="D150" s="150">
        <v>240021</v>
      </c>
      <c r="E150" s="144" t="s">
        <v>37</v>
      </c>
      <c r="F150" s="145">
        <v>45854</v>
      </c>
      <c r="G150" s="146">
        <f t="shared" si="17"/>
        <v>29</v>
      </c>
      <c r="H150" s="146" t="s">
        <v>54</v>
      </c>
      <c r="I150" s="79" t="str">
        <f t="shared" si="20"/>
        <v>7-2025</v>
      </c>
      <c r="J150" s="86" t="str">
        <f>(YEAR(F150)&amp;TEXT(Table1[[#This Row],[Week]],"00"))</f>
        <v>202529</v>
      </c>
      <c r="K150" s="79" t="str">
        <f>_xlfn.TEXTJOIN("-",TRUE,Table1[[#This Row],[Client]],Table1[[#This Row],[Budget ID]],Table1[[#This Row],[Ressource
'[Initials']]])</f>
        <v>Zystm-240021-ML</v>
      </c>
      <c r="L150" s="19" t="s">
        <v>288</v>
      </c>
      <c r="M150" s="22"/>
      <c r="N150" s="22"/>
      <c r="O150" s="23">
        <v>2</v>
      </c>
      <c r="P150" s="117" cm="1">
        <f t="array" ref="P150">_xlfn.XLOOKUP(Table1[[#This Row],[UID
'[Helper']]],Table2[[#All],[UID
'[Helper']]],Table2[[#All],[Rate
DKK]],"Not found :(",0,1)</f>
        <v>850</v>
      </c>
      <c r="Q150" s="117">
        <f t="shared" si="21"/>
        <v>1700</v>
      </c>
      <c r="R150" s="118"/>
      <c r="S150" s="118"/>
    </row>
    <row r="151" spans="1:19" ht="13.5">
      <c r="A151" s="144" t="s">
        <v>107</v>
      </c>
      <c r="B151" s="144" t="s">
        <v>153</v>
      </c>
      <c r="C151" s="152"/>
      <c r="D151" s="71">
        <v>240021</v>
      </c>
      <c r="E151" s="144" t="s">
        <v>37</v>
      </c>
      <c r="F151" s="145">
        <v>45854</v>
      </c>
      <c r="G151" s="146">
        <f t="shared" si="17"/>
        <v>29</v>
      </c>
      <c r="H151" s="146" t="s">
        <v>54</v>
      </c>
      <c r="I151" s="79" t="str">
        <f t="shared" si="20"/>
        <v>7-2025</v>
      </c>
      <c r="J151" s="86" t="str">
        <f>(YEAR(F151)&amp;TEXT(Table1[[#This Row],[Week]],"00"))</f>
        <v>202529</v>
      </c>
      <c r="K151" s="79" t="str">
        <f>_xlfn.TEXTJOIN("-",TRUE,Table1[[#This Row],[Client]],Table1[[#This Row],[Budget ID]],Table1[[#This Row],[Ressource
'[Initials']]])</f>
        <v>Zystm-240021-ML</v>
      </c>
      <c r="L151" s="19" t="s">
        <v>289</v>
      </c>
      <c r="M151" s="22"/>
      <c r="N151" s="22"/>
      <c r="O151" s="23">
        <v>4</v>
      </c>
      <c r="P151" s="117" cm="1">
        <f t="array" ref="P151">_xlfn.XLOOKUP(Table1[[#This Row],[UID
'[Helper']]],Table2[[#All],[UID
'[Helper']]],Table2[[#All],[Rate
DKK]],"Not found :(",0,1)</f>
        <v>850</v>
      </c>
      <c r="Q151" s="117">
        <f t="shared" si="21"/>
        <v>3400</v>
      </c>
      <c r="R151" s="118"/>
      <c r="S151" s="118"/>
    </row>
    <row r="152" spans="1:19" ht="13.5">
      <c r="A152" s="144" t="s">
        <v>92</v>
      </c>
      <c r="B152" s="144" t="s">
        <v>139</v>
      </c>
      <c r="C152" s="152" t="s">
        <v>281</v>
      </c>
      <c r="D152" s="71" t="s">
        <v>270</v>
      </c>
      <c r="E152" s="144" t="s">
        <v>46</v>
      </c>
      <c r="F152" s="145">
        <v>45854</v>
      </c>
      <c r="G152" s="146">
        <f t="shared" si="17"/>
        <v>29</v>
      </c>
      <c r="H152" s="146" t="s">
        <v>54</v>
      </c>
      <c r="I152" s="79" t="str">
        <f t="shared" si="20"/>
        <v>7-2025</v>
      </c>
      <c r="J152" s="86" t="str">
        <f>(YEAR(F152)&amp;TEXT(Table1[[#This Row],[Week]],"00"))</f>
        <v>202529</v>
      </c>
      <c r="K152" s="79" t="str">
        <f>_xlfn.TEXTJOIN("-",TRUE,Table1[[#This Row],[Client]],Table1[[#This Row],[Budget ID]],Table1[[#This Row],[Ressource
'[Initials']]])</f>
        <v>Novo Nordisk-240017-5-ML</v>
      </c>
      <c r="L152" s="19" t="s">
        <v>300</v>
      </c>
      <c r="M152" s="22"/>
      <c r="N152" s="22"/>
      <c r="O152" s="23">
        <f>2+5</f>
        <v>7</v>
      </c>
      <c r="P152" s="117" cm="1">
        <f t="array" ref="P152">_xlfn.XLOOKUP(Table1[[#This Row],[UID
'[Helper']]],Table2[[#All],[UID
'[Helper']]],Table2[[#All],[Rate
DKK]],"Not found :(",0,1)</f>
        <v>900</v>
      </c>
      <c r="Q152" s="117">
        <f t="shared" si="21"/>
        <v>6300</v>
      </c>
      <c r="R152" s="118" t="s">
        <v>152</v>
      </c>
      <c r="S152" s="118"/>
    </row>
    <row r="153" spans="1:19" ht="13.5">
      <c r="A153" s="144" t="s">
        <v>92</v>
      </c>
      <c r="B153" s="144" t="s">
        <v>139</v>
      </c>
      <c r="C153" s="152" t="s">
        <v>281</v>
      </c>
      <c r="D153" s="150" t="s">
        <v>270</v>
      </c>
      <c r="E153" s="144" t="s">
        <v>46</v>
      </c>
      <c r="F153" s="20">
        <v>45855</v>
      </c>
      <c r="G153" s="21">
        <f t="shared" si="17"/>
        <v>29</v>
      </c>
      <c r="H153" s="21" t="s">
        <v>20</v>
      </c>
      <c r="I153" s="79" t="str">
        <f t="shared" si="20"/>
        <v>7-2025</v>
      </c>
      <c r="J153" s="86" t="str">
        <f>(YEAR(F153)&amp;TEXT(Table1[[#This Row],[Week]],"00"))</f>
        <v>202529</v>
      </c>
      <c r="K153" s="79" t="str">
        <f>_xlfn.TEXTJOIN("-",TRUE,Table1[[#This Row],[Client]],Table1[[#This Row],[Budget ID]],Table1[[#This Row],[Ressource
'[Initials']]])</f>
        <v>Novo Nordisk-240017-5-DS</v>
      </c>
      <c r="L153" s="19" t="s">
        <v>290</v>
      </c>
      <c r="M153" s="22"/>
      <c r="N153" s="22"/>
      <c r="O153" s="23">
        <v>1.5</v>
      </c>
      <c r="P153" s="117" cm="1">
        <f t="array" ref="P153">_xlfn.XLOOKUP(Table1[[#This Row],[UID
'[Helper']]],Table2[[#All],[UID
'[Helper']]],Table2[[#All],[Rate
DKK]],"Not found :(",0,1)</f>
        <v>900</v>
      </c>
      <c r="Q153" s="117">
        <f t="shared" si="21"/>
        <v>1350</v>
      </c>
      <c r="R153" s="118"/>
      <c r="S153" s="118"/>
    </row>
    <row r="154" spans="1:19" ht="27">
      <c r="A154" s="147" t="s">
        <v>107</v>
      </c>
      <c r="B154" s="148" t="s">
        <v>154</v>
      </c>
      <c r="C154" s="149"/>
      <c r="D154" s="150">
        <v>240021</v>
      </c>
      <c r="E154" s="148" t="s">
        <v>37</v>
      </c>
      <c r="F154" s="145">
        <v>45855</v>
      </c>
      <c r="G154" s="151">
        <f t="shared" si="17"/>
        <v>29</v>
      </c>
      <c r="H154" s="151" t="s">
        <v>54</v>
      </c>
      <c r="I154" s="79" t="str">
        <f t="shared" si="20"/>
        <v>7-2025</v>
      </c>
      <c r="J154" s="86" t="str">
        <f>(YEAR(F154)&amp;TEXT(Table1[[#This Row],[Week]],"00"))</f>
        <v>202529</v>
      </c>
      <c r="K154" s="79" t="str">
        <f>_xlfn.TEXTJOIN("-",TRUE,Table1[[#This Row],[Client]],Table1[[#This Row],[Budget ID]],Table1[[#This Row],[Ressource
'[Initials']]])</f>
        <v>Zystm-240021-ML</v>
      </c>
      <c r="L154" s="19" t="s">
        <v>292</v>
      </c>
      <c r="M154" s="22"/>
      <c r="N154" s="22"/>
      <c r="O154" s="23">
        <v>6</v>
      </c>
      <c r="P154" s="117" cm="1">
        <f t="array" ref="P154">_xlfn.XLOOKUP(Table1[[#This Row],[UID
'[Helper']]],Table2[[#All],[UID
'[Helper']]],Table2[[#All],[Rate
DKK]],"Not found :(",0,1)</f>
        <v>850</v>
      </c>
      <c r="Q154" s="117">
        <f t="shared" si="21"/>
        <v>5100</v>
      </c>
      <c r="R154" s="118"/>
      <c r="S154" s="118"/>
    </row>
    <row r="155" spans="1:19" ht="13.5">
      <c r="A155" s="144" t="s">
        <v>107</v>
      </c>
      <c r="B155" s="144" t="s">
        <v>153</v>
      </c>
      <c r="C155" s="152"/>
      <c r="D155" s="71">
        <v>240021</v>
      </c>
      <c r="E155" s="144" t="s">
        <v>37</v>
      </c>
      <c r="F155" s="145">
        <v>45855</v>
      </c>
      <c r="G155" s="146">
        <f t="shared" si="17"/>
        <v>29</v>
      </c>
      <c r="H155" s="151" t="s">
        <v>54</v>
      </c>
      <c r="I155" s="79" t="str">
        <f t="shared" si="20"/>
        <v>7-2025</v>
      </c>
      <c r="J155" s="86" t="str">
        <f>(YEAR(F155)&amp;TEXT(Table1[[#This Row],[Week]],"00"))</f>
        <v>202529</v>
      </c>
      <c r="K155" s="79" t="str">
        <f>_xlfn.TEXTJOIN("-",TRUE,Table1[[#This Row],[Client]],Table1[[#This Row],[Budget ID]],Table1[[#This Row],[Ressource
'[Initials']]])</f>
        <v>Zystm-240021-ML</v>
      </c>
      <c r="L155" s="19" t="s">
        <v>296</v>
      </c>
      <c r="M155" s="22"/>
      <c r="N155" s="22"/>
      <c r="O155" s="23">
        <v>2</v>
      </c>
      <c r="P155" s="117" cm="1">
        <f t="array" ref="P155">_xlfn.XLOOKUP(Table1[[#This Row],[UID
'[Helper']]],Table2[[#All],[UID
'[Helper']]],Table2[[#All],[Rate
DKK]],"Not found :(",0,1)</f>
        <v>850</v>
      </c>
      <c r="Q155" s="117">
        <f t="shared" si="21"/>
        <v>1700</v>
      </c>
      <c r="R155" s="118"/>
      <c r="S155" s="118"/>
    </row>
    <row r="156" spans="1:19" ht="13.5">
      <c r="A156" s="144" t="s">
        <v>92</v>
      </c>
      <c r="B156" s="144" t="s">
        <v>139</v>
      </c>
      <c r="C156" s="152" t="s">
        <v>281</v>
      </c>
      <c r="D156" s="71" t="s">
        <v>270</v>
      </c>
      <c r="E156" s="144" t="s">
        <v>46</v>
      </c>
      <c r="F156" s="145">
        <v>45855</v>
      </c>
      <c r="G156" s="146">
        <f t="shared" si="17"/>
        <v>29</v>
      </c>
      <c r="H156" s="146" t="s">
        <v>54</v>
      </c>
      <c r="I156" s="79" t="str">
        <f t="shared" si="20"/>
        <v>7-2025</v>
      </c>
      <c r="J156" s="86" t="str">
        <f>(YEAR(F156)&amp;TEXT(Table1[[#This Row],[Week]],"00"))</f>
        <v>202529</v>
      </c>
      <c r="K156" s="79" t="str">
        <f>_xlfn.TEXTJOIN("-",TRUE,Table1[[#This Row],[Client]],Table1[[#This Row],[Budget ID]],Table1[[#This Row],[Ressource
'[Initials']]])</f>
        <v>Novo Nordisk-240017-5-ML</v>
      </c>
      <c r="L156" s="19" t="s">
        <v>291</v>
      </c>
      <c r="M156" s="22"/>
      <c r="N156" s="22"/>
      <c r="O156" s="23">
        <f>7+3</f>
        <v>10</v>
      </c>
      <c r="P156" s="117" cm="1">
        <f t="array" ref="P156">_xlfn.XLOOKUP(Table1[[#This Row],[UID
'[Helper']]],Table2[[#All],[UID
'[Helper']]],Table2[[#All],[Rate
DKK]],"Not found :(",0,1)</f>
        <v>900</v>
      </c>
      <c r="Q156" s="117">
        <f t="shared" si="21"/>
        <v>9000</v>
      </c>
      <c r="R156" s="118" t="s">
        <v>152</v>
      </c>
      <c r="S156" s="118"/>
    </row>
    <row r="157" spans="1:19" ht="13.5">
      <c r="A157" s="144" t="s">
        <v>107</v>
      </c>
      <c r="B157" s="144" t="s">
        <v>154</v>
      </c>
      <c r="C157" s="152"/>
      <c r="D157" s="71">
        <v>240021</v>
      </c>
      <c r="E157" s="144" t="s">
        <v>37</v>
      </c>
      <c r="F157" s="145">
        <v>45856</v>
      </c>
      <c r="G157" s="146">
        <f t="shared" si="17"/>
        <v>29</v>
      </c>
      <c r="H157" s="146" t="s">
        <v>54</v>
      </c>
      <c r="I157" s="79" t="str">
        <f t="shared" si="20"/>
        <v>7-2025</v>
      </c>
      <c r="J157" s="86" t="str">
        <f>(YEAR(F157)&amp;TEXT(Table1[[#This Row],[Week]],"00"))</f>
        <v>202529</v>
      </c>
      <c r="K157" s="79" t="str">
        <f>_xlfn.TEXTJOIN("-",TRUE,Table1[[#This Row],[Client]],Table1[[#This Row],[Budget ID]],Table1[[#This Row],[Ressource
'[Initials']]])</f>
        <v>Zystm-240021-ML</v>
      </c>
      <c r="L157" s="19" t="s">
        <v>295</v>
      </c>
      <c r="M157" s="22"/>
      <c r="N157" s="22"/>
      <c r="O157" s="23">
        <v>2</v>
      </c>
      <c r="P157" s="117" cm="1">
        <f t="array" ref="P157">_xlfn.XLOOKUP(Table1[[#This Row],[UID
'[Helper']]],Table2[[#All],[UID
'[Helper']]],Table2[[#All],[Rate
DKK]],"Not found :(",0,1)</f>
        <v>850</v>
      </c>
      <c r="Q157" s="117">
        <f t="shared" si="21"/>
        <v>1700</v>
      </c>
      <c r="R157" s="118"/>
      <c r="S157" s="118"/>
    </row>
    <row r="158" spans="1:19" ht="13.5">
      <c r="A158" s="144" t="s">
        <v>107</v>
      </c>
      <c r="B158" s="144" t="s">
        <v>153</v>
      </c>
      <c r="C158" s="152"/>
      <c r="D158" s="150">
        <v>240021</v>
      </c>
      <c r="E158" s="144" t="s">
        <v>37</v>
      </c>
      <c r="F158" s="145">
        <v>45856</v>
      </c>
      <c r="G158" s="146">
        <f t="shared" si="17"/>
        <v>29</v>
      </c>
      <c r="H158" s="146" t="s">
        <v>54</v>
      </c>
      <c r="I158" s="79" t="str">
        <f t="shared" si="20"/>
        <v>7-2025</v>
      </c>
      <c r="J158" s="86" t="str">
        <f>(YEAR(F158)&amp;TEXT(Table1[[#This Row],[Week]],"00"))</f>
        <v>202529</v>
      </c>
      <c r="K158" s="79" t="str">
        <f>_xlfn.TEXTJOIN("-",TRUE,Table1[[#This Row],[Client]],Table1[[#This Row],[Budget ID]],Table1[[#This Row],[Ressource
'[Initials']]])</f>
        <v>Zystm-240021-ML</v>
      </c>
      <c r="L158" s="19" t="s">
        <v>294</v>
      </c>
      <c r="M158" s="22"/>
      <c r="N158" s="22"/>
      <c r="O158" s="23">
        <v>4</v>
      </c>
      <c r="P158" s="117" cm="1">
        <f t="array" ref="P158">_xlfn.XLOOKUP(Table1[[#This Row],[UID
'[Helper']]],Table2[[#All],[UID
'[Helper']]],Table2[[#All],[Rate
DKK]],"Not found :(",0,1)</f>
        <v>850</v>
      </c>
      <c r="Q158" s="117">
        <f t="shared" si="21"/>
        <v>3400</v>
      </c>
      <c r="R158" s="118"/>
      <c r="S158" s="118"/>
    </row>
    <row r="159" spans="1:19" ht="13.5">
      <c r="A159" s="144" t="s">
        <v>92</v>
      </c>
      <c r="B159" s="144" t="s">
        <v>139</v>
      </c>
      <c r="C159" s="152" t="s">
        <v>281</v>
      </c>
      <c r="D159" s="150" t="s">
        <v>270</v>
      </c>
      <c r="E159" s="144" t="s">
        <v>46</v>
      </c>
      <c r="F159" s="145">
        <v>45856</v>
      </c>
      <c r="G159" s="146">
        <f t="shared" si="17"/>
        <v>29</v>
      </c>
      <c r="H159" s="146" t="s">
        <v>54</v>
      </c>
      <c r="I159" s="79" t="str">
        <f t="shared" si="20"/>
        <v>7-2025</v>
      </c>
      <c r="J159" s="86" t="str">
        <f>(YEAR(F159)&amp;TEXT(Table1[[#This Row],[Week]],"00"))</f>
        <v>202529</v>
      </c>
      <c r="K159" s="79" t="str">
        <f>_xlfn.TEXTJOIN("-",TRUE,Table1[[#This Row],[Client]],Table1[[#This Row],[Budget ID]],Table1[[#This Row],[Ressource
'[Initials']]])</f>
        <v>Novo Nordisk-240017-5-ML</v>
      </c>
      <c r="L159" s="19" t="s">
        <v>293</v>
      </c>
      <c r="M159" s="22"/>
      <c r="N159" s="22"/>
      <c r="O159" s="23">
        <v>3</v>
      </c>
      <c r="P159" s="117" cm="1">
        <f t="array" ref="P159">_xlfn.XLOOKUP(Table1[[#This Row],[UID
'[Helper']]],Table2[[#All],[UID
'[Helper']]],Table2[[#All],[Rate
DKK]],"Not found :(",0,1)</f>
        <v>900</v>
      </c>
      <c r="Q159" s="117">
        <f t="shared" si="21"/>
        <v>2700</v>
      </c>
      <c r="R159" s="118"/>
      <c r="S159" s="118"/>
    </row>
    <row r="160" spans="1:19" ht="13.5">
      <c r="A160" s="147" t="s">
        <v>92</v>
      </c>
      <c r="B160" s="148" t="s">
        <v>139</v>
      </c>
      <c r="C160" s="149" t="s">
        <v>281</v>
      </c>
      <c r="D160" s="150" t="s">
        <v>270</v>
      </c>
      <c r="E160" s="148" t="s">
        <v>46</v>
      </c>
      <c r="F160" s="145">
        <v>45856</v>
      </c>
      <c r="G160" s="45">
        <f t="shared" si="17"/>
        <v>29</v>
      </c>
      <c r="H160" s="45" t="s">
        <v>20</v>
      </c>
      <c r="I160" s="79" t="str">
        <f t="shared" si="20"/>
        <v>7-2025</v>
      </c>
      <c r="J160" s="86" t="str">
        <f>(YEAR(F160)&amp;TEXT(Table1[[#This Row],[Week]],"00"))</f>
        <v>202529</v>
      </c>
      <c r="K160" s="79" t="str">
        <f>_xlfn.TEXTJOIN("-",TRUE,Table1[[#This Row],[Client]],Table1[[#This Row],[Budget ID]],Table1[[#This Row],[Ressource
'[Initials']]])</f>
        <v>Novo Nordisk-240017-5-DS</v>
      </c>
      <c r="L160" s="19" t="s">
        <v>297</v>
      </c>
      <c r="M160" s="22"/>
      <c r="N160" s="22"/>
      <c r="O160" s="23">
        <v>2</v>
      </c>
      <c r="P160" s="117" cm="1">
        <f t="array" ref="P160">_xlfn.XLOOKUP(Table1[[#This Row],[UID
'[Helper']]],Table2[[#All],[UID
'[Helper']]],Table2[[#All],[Rate
DKK]],"Not found :(",0,1)</f>
        <v>900</v>
      </c>
      <c r="Q160" s="117">
        <f t="shared" si="21"/>
        <v>1800</v>
      </c>
      <c r="R160" s="118"/>
      <c r="S160" s="118"/>
    </row>
    <row r="161" spans="1:19" ht="13.5">
      <c r="A161" s="144" t="s">
        <v>92</v>
      </c>
      <c r="B161" s="144" t="s">
        <v>139</v>
      </c>
      <c r="C161" s="152" t="s">
        <v>281</v>
      </c>
      <c r="D161" s="150" t="s">
        <v>270</v>
      </c>
      <c r="E161" s="144" t="s">
        <v>46</v>
      </c>
      <c r="F161" s="20">
        <v>45859</v>
      </c>
      <c r="G161" s="21">
        <f t="shared" si="17"/>
        <v>30</v>
      </c>
      <c r="H161" s="45" t="s">
        <v>20</v>
      </c>
      <c r="I161" s="79" t="str">
        <f t="shared" si="20"/>
        <v>7-2025</v>
      </c>
      <c r="J161" s="86" t="str">
        <f>(YEAR(F161)&amp;TEXT(Table1[[#This Row],[Week]],"00"))</f>
        <v>202530</v>
      </c>
      <c r="K161" s="79" t="str">
        <f>_xlfn.TEXTJOIN("-",TRUE,Table1[[#This Row],[Client]],Table1[[#This Row],[Budget ID]],Table1[[#This Row],[Ressource
'[Initials']]])</f>
        <v>Novo Nordisk-240017-5-DS</v>
      </c>
      <c r="L161" s="19" t="s">
        <v>298</v>
      </c>
      <c r="M161" s="22"/>
      <c r="N161" s="22"/>
      <c r="O161" s="23">
        <v>7.5</v>
      </c>
      <c r="P161" s="117" cm="1">
        <f t="array" ref="P161">_xlfn.XLOOKUP(Table1[[#This Row],[UID
'[Helper']]],Table2[[#All],[UID
'[Helper']]],Table2[[#All],[Rate
DKK]],"Not found :(",0,1)</f>
        <v>900</v>
      </c>
      <c r="Q161" s="117">
        <f t="shared" si="21"/>
        <v>6750</v>
      </c>
      <c r="R161" s="118"/>
      <c r="S161" s="118"/>
    </row>
    <row r="162" spans="1:19" ht="13.5">
      <c r="A162" s="18" t="s">
        <v>92</v>
      </c>
      <c r="B162" s="18" t="s">
        <v>269</v>
      </c>
      <c r="C162" s="19" t="s">
        <v>274</v>
      </c>
      <c r="D162" s="154">
        <v>250402</v>
      </c>
      <c r="E162" s="18" t="s">
        <v>46</v>
      </c>
      <c r="F162" s="20">
        <v>45860</v>
      </c>
      <c r="G162" s="21">
        <f t="shared" si="17"/>
        <v>30</v>
      </c>
      <c r="H162" s="21" t="s">
        <v>20</v>
      </c>
      <c r="I162" s="79" t="str">
        <f t="shared" si="20"/>
        <v>7-2025</v>
      </c>
      <c r="J162" s="86" t="str">
        <f>(YEAR(F162)&amp;TEXT(Table1[[#This Row],[Week]],"00"))</f>
        <v>202530</v>
      </c>
      <c r="K162" s="79" t="str">
        <f>_xlfn.TEXTJOIN("-",TRUE,Table1[[#This Row],[Client]],Table1[[#This Row],[Budget ID]],Table1[[#This Row],[Ressource
'[Initials']]])</f>
        <v>Novo Nordisk-250402-DS</v>
      </c>
      <c r="L162" s="19" t="s">
        <v>305</v>
      </c>
      <c r="M162" s="22"/>
      <c r="N162" s="22"/>
      <c r="O162" s="23">
        <v>1</v>
      </c>
      <c r="P162" s="117" cm="1">
        <f t="array" ref="P162">_xlfn.XLOOKUP(Table1[[#This Row],[UID
'[Helper']]],Table2[[#All],[UID
'[Helper']]],Table2[[#All],[Rate
DKK]],"Not found :(",0,1)</f>
        <v>900</v>
      </c>
      <c r="Q162" s="117">
        <f t="shared" si="21"/>
        <v>900</v>
      </c>
      <c r="R162" s="118"/>
      <c r="S162" s="118"/>
    </row>
    <row r="163" spans="1:19" ht="13.5">
      <c r="A163" s="147" t="s">
        <v>92</v>
      </c>
      <c r="B163" s="148" t="s">
        <v>139</v>
      </c>
      <c r="C163" s="149" t="s">
        <v>281</v>
      </c>
      <c r="D163" s="150" t="s">
        <v>270</v>
      </c>
      <c r="E163" s="43" t="s">
        <v>46</v>
      </c>
      <c r="F163" s="20">
        <v>45860</v>
      </c>
      <c r="G163" s="45">
        <f t="shared" si="17"/>
        <v>30</v>
      </c>
      <c r="H163" s="45" t="s">
        <v>20</v>
      </c>
      <c r="I163" s="79" t="str">
        <f t="shared" si="20"/>
        <v>7-2025</v>
      </c>
      <c r="J163" s="86" t="str">
        <f>(YEAR(F163)&amp;TEXT(Table1[[#This Row],[Week]],"00"))</f>
        <v>202530</v>
      </c>
      <c r="K163" s="79" t="str">
        <f>_xlfn.TEXTJOIN("-",TRUE,Table1[[#This Row],[Client]],Table1[[#This Row],[Budget ID]],Table1[[#This Row],[Ressource
'[Initials']]])</f>
        <v>Novo Nordisk-240017-5-DS</v>
      </c>
      <c r="L163" s="19" t="s">
        <v>303</v>
      </c>
      <c r="M163" s="22"/>
      <c r="N163" s="22"/>
      <c r="O163" s="23">
        <v>8</v>
      </c>
      <c r="P163" s="117" cm="1">
        <f t="array" ref="P163">_xlfn.XLOOKUP(Table1[[#This Row],[UID
'[Helper']]],Table2[[#All],[UID
'[Helper']]],Table2[[#All],[Rate
DKK]],"Not found :(",0,1)</f>
        <v>900</v>
      </c>
      <c r="Q163" s="117">
        <f t="shared" si="21"/>
        <v>7200</v>
      </c>
      <c r="R163" s="118"/>
      <c r="S163" s="118"/>
    </row>
    <row r="164" spans="1:19" ht="13.5">
      <c r="A164" s="18" t="s">
        <v>92</v>
      </c>
      <c r="B164" s="18" t="s">
        <v>275</v>
      </c>
      <c r="C164" s="19" t="s">
        <v>276</v>
      </c>
      <c r="D164" s="71">
        <v>250501</v>
      </c>
      <c r="E164" s="18" t="s">
        <v>46</v>
      </c>
      <c r="F164" s="20">
        <v>45860</v>
      </c>
      <c r="G164" s="21">
        <f t="shared" si="17"/>
        <v>30</v>
      </c>
      <c r="H164" s="45" t="s">
        <v>20</v>
      </c>
      <c r="I164" s="79" t="str">
        <f t="shared" si="20"/>
        <v>7-2025</v>
      </c>
      <c r="J164" s="86" t="str">
        <f>(YEAR(F164)&amp;TEXT(Table1[[#This Row],[Week]],"00"))</f>
        <v>202530</v>
      </c>
      <c r="K164" s="79" t="str">
        <f>_xlfn.TEXTJOIN("-",TRUE,Table1[[#This Row],[Client]],Table1[[#This Row],[Budget ID]],Table1[[#This Row],[Ressource
'[Initials']]])</f>
        <v>Novo Nordisk-250501-DS</v>
      </c>
      <c r="L164" s="19" t="s">
        <v>304</v>
      </c>
      <c r="M164" s="22"/>
      <c r="N164" s="22"/>
      <c r="O164" s="23">
        <v>1.5</v>
      </c>
      <c r="P164" s="117" cm="1">
        <f t="array" ref="P164">_xlfn.XLOOKUP(Table1[[#This Row],[UID
'[Helper']]],Table2[[#All],[UID
'[Helper']]],Table2[[#All],[Rate
DKK]],"Not found :(",0,1)</f>
        <v>900</v>
      </c>
      <c r="Q164" s="117">
        <f t="shared" si="21"/>
        <v>1350</v>
      </c>
      <c r="R164" s="118"/>
      <c r="S164" s="118"/>
    </row>
    <row r="165" spans="1:19" ht="13.5">
      <c r="A165" s="18" t="s">
        <v>92</v>
      </c>
      <c r="B165" s="18" t="s">
        <v>139</v>
      </c>
      <c r="C165" s="19" t="s">
        <v>281</v>
      </c>
      <c r="D165" s="49" t="s">
        <v>270</v>
      </c>
      <c r="E165" s="18" t="s">
        <v>46</v>
      </c>
      <c r="F165" s="20">
        <v>45860</v>
      </c>
      <c r="G165" s="21">
        <f t="shared" si="17"/>
        <v>30</v>
      </c>
      <c r="H165" s="21" t="s">
        <v>22</v>
      </c>
      <c r="I165" s="79" t="str">
        <f t="shared" si="20"/>
        <v>7-2025</v>
      </c>
      <c r="J165" s="86" t="str">
        <f>(YEAR(F165)&amp;TEXT(Table1[[#This Row],[Week]],"00"))</f>
        <v>202530</v>
      </c>
      <c r="K165" s="79" t="str">
        <f>_xlfn.TEXTJOIN("-",TRUE,Table1[[#This Row],[Client]],Table1[[#This Row],[Budget ID]],Table1[[#This Row],[Ressource
'[Initials']]])</f>
        <v>Novo Nordisk-240017-5-MS</v>
      </c>
      <c r="L165" s="19" t="s">
        <v>318</v>
      </c>
      <c r="M165" s="22"/>
      <c r="N165" s="22"/>
      <c r="O165" s="23">
        <v>1</v>
      </c>
      <c r="P165" s="117" cm="1">
        <f t="array" ref="P165">_xlfn.XLOOKUP(Table1[[#This Row],[UID
'[Helper']]],Table2[[#All],[UID
'[Helper']]],Table2[[#All],[Rate
DKK]],"Not found :(",0,1)</f>
        <v>900</v>
      </c>
      <c r="Q165" s="117">
        <f t="shared" si="21"/>
        <v>900</v>
      </c>
      <c r="R165" s="118"/>
      <c r="S165" s="118"/>
    </row>
    <row r="166" spans="1:19" ht="27">
      <c r="A166" s="144" t="s">
        <v>92</v>
      </c>
      <c r="B166" s="144" t="s">
        <v>139</v>
      </c>
      <c r="C166" s="152" t="s">
        <v>281</v>
      </c>
      <c r="D166" s="153" t="s">
        <v>270</v>
      </c>
      <c r="E166" s="18" t="s">
        <v>46</v>
      </c>
      <c r="F166" s="20">
        <v>45861</v>
      </c>
      <c r="G166" s="21">
        <f t="shared" si="17"/>
        <v>30</v>
      </c>
      <c r="H166" s="21" t="s">
        <v>20</v>
      </c>
      <c r="I166" s="79" t="str">
        <f t="shared" si="20"/>
        <v>7-2025</v>
      </c>
      <c r="J166" s="86" t="str">
        <f>(YEAR(F166)&amp;TEXT(Table1[[#This Row],[Week]],"00"))</f>
        <v>202530</v>
      </c>
      <c r="K166" s="79" t="str">
        <f>_xlfn.TEXTJOIN("-",TRUE,Table1[[#This Row],[Client]],Table1[[#This Row],[Budget ID]],Table1[[#This Row],[Ressource
'[Initials']]])</f>
        <v>Novo Nordisk-240017-5-DS</v>
      </c>
      <c r="L166" s="19" t="s">
        <v>306</v>
      </c>
      <c r="M166" s="22"/>
      <c r="N166" s="22"/>
      <c r="O166" s="23">
        <v>5.5</v>
      </c>
      <c r="P166" s="117" cm="1">
        <f t="array" ref="P166">_xlfn.XLOOKUP(Table1[[#This Row],[UID
'[Helper']]],Table2[[#All],[UID
'[Helper']]],Table2[[#All],[Rate
DKK]],"Not found :(",0,1)</f>
        <v>900</v>
      </c>
      <c r="Q166" s="117">
        <f t="shared" si="21"/>
        <v>4950</v>
      </c>
      <c r="R166" s="118"/>
      <c r="S166" s="118"/>
    </row>
    <row r="167" spans="1:19" ht="13.5">
      <c r="A167" s="18" t="s">
        <v>92</v>
      </c>
      <c r="B167" s="18" t="s">
        <v>139</v>
      </c>
      <c r="C167" s="19" t="s">
        <v>281</v>
      </c>
      <c r="D167" s="157" t="s">
        <v>270</v>
      </c>
      <c r="E167" s="18" t="s">
        <v>46</v>
      </c>
      <c r="F167" s="20">
        <v>45861</v>
      </c>
      <c r="G167" s="21">
        <f t="shared" si="17"/>
        <v>30</v>
      </c>
      <c r="H167" s="21" t="s">
        <v>22</v>
      </c>
      <c r="I167" s="79" t="str">
        <f t="shared" si="20"/>
        <v>7-2025</v>
      </c>
      <c r="J167" s="86" t="str">
        <f>(YEAR(F167)&amp;TEXT(Table1[[#This Row],[Week]],"00"))</f>
        <v>202530</v>
      </c>
      <c r="K167" s="79" t="str">
        <f>_xlfn.TEXTJOIN("-",TRUE,Table1[[#This Row],[Client]],Table1[[#This Row],[Budget ID]],Table1[[#This Row],[Ressource
'[Initials']]])</f>
        <v>Novo Nordisk-240017-5-MS</v>
      </c>
      <c r="L167" s="19" t="s">
        <v>318</v>
      </c>
      <c r="M167" s="22"/>
      <c r="N167" s="22"/>
      <c r="O167" s="23">
        <v>1</v>
      </c>
      <c r="P167" s="117" cm="1">
        <f t="array" ref="P167">_xlfn.XLOOKUP(Table1[[#This Row],[UID
'[Helper']]],Table2[[#All],[UID
'[Helper']]],Table2[[#All],[Rate
DKK]],"Not found :(",0,1)</f>
        <v>900</v>
      </c>
      <c r="Q167" s="117">
        <f t="shared" si="21"/>
        <v>900</v>
      </c>
      <c r="R167" s="118"/>
      <c r="S167" s="118"/>
    </row>
    <row r="168" spans="1:19" ht="13.5">
      <c r="A168" s="18" t="s">
        <v>143</v>
      </c>
      <c r="B168" s="18" t="s">
        <v>144</v>
      </c>
      <c r="C168" s="19"/>
      <c r="D168" s="49">
        <v>240018</v>
      </c>
      <c r="E168" s="18" t="s">
        <v>79</v>
      </c>
      <c r="F168" s="20">
        <v>45862</v>
      </c>
      <c r="G168" s="21">
        <f t="shared" si="17"/>
        <v>30</v>
      </c>
      <c r="H168" s="21" t="s">
        <v>22</v>
      </c>
      <c r="I168" s="79" t="str">
        <f t="shared" si="20"/>
        <v>7-2025</v>
      </c>
      <c r="J168" s="86" t="str">
        <f>(YEAR(F168)&amp;TEXT(Table1[[#This Row],[Week]],"00"))</f>
        <v>202530</v>
      </c>
      <c r="K168" s="79" t="str">
        <f>_xlfn.TEXTJOIN("-",TRUE,Table1[[#This Row],[Client]],Table1[[#This Row],[Budget ID]],Table1[[#This Row],[Ressource
'[Initials']]])</f>
        <v>CCRM-240018-MS</v>
      </c>
      <c r="L168" s="19" t="s">
        <v>280</v>
      </c>
      <c r="M168" s="22"/>
      <c r="N168" s="22"/>
      <c r="O168" s="23">
        <v>2</v>
      </c>
      <c r="P168" s="117" cm="1">
        <f t="array" ref="P168">_xlfn.XLOOKUP(Table1[[#This Row],[UID
'[Helper']]],Table2[[#All],[UID
'[Helper']]],Table2[[#All],[Rate
DKK]],"Not found :(",0,1)</f>
        <v>900</v>
      </c>
      <c r="Q168" s="117">
        <f t="shared" si="21"/>
        <v>1800</v>
      </c>
      <c r="R168" s="118" t="s">
        <v>20</v>
      </c>
      <c r="S168" s="118"/>
    </row>
    <row r="169" spans="1:19" ht="27">
      <c r="A169" s="147" t="s">
        <v>92</v>
      </c>
      <c r="B169" s="148" t="s">
        <v>139</v>
      </c>
      <c r="C169" s="149" t="s">
        <v>281</v>
      </c>
      <c r="D169" s="157" t="s">
        <v>270</v>
      </c>
      <c r="E169" s="43" t="s">
        <v>46</v>
      </c>
      <c r="F169" s="20">
        <v>45862</v>
      </c>
      <c r="G169" s="21">
        <f t="shared" si="17"/>
        <v>30</v>
      </c>
      <c r="H169" s="21" t="s">
        <v>20</v>
      </c>
      <c r="I169" s="79" t="str">
        <f t="shared" si="20"/>
        <v>7-2025</v>
      </c>
      <c r="J169" s="86" t="str">
        <f>(YEAR(F169)&amp;TEXT(Table1[[#This Row],[Week]],"00"))</f>
        <v>202530</v>
      </c>
      <c r="K169" s="79" t="str">
        <f>_xlfn.TEXTJOIN("-",TRUE,Table1[[#This Row],[Client]],Table1[[#This Row],[Budget ID]],Table1[[#This Row],[Ressource
'[Initials']]])</f>
        <v>Novo Nordisk-240017-5-DS</v>
      </c>
      <c r="L169" s="19" t="s">
        <v>308</v>
      </c>
      <c r="M169" s="22"/>
      <c r="N169" s="22"/>
      <c r="O169" s="23">
        <v>5</v>
      </c>
      <c r="P169" s="117" cm="1">
        <f t="array" ref="P169">_xlfn.XLOOKUP(Table1[[#This Row],[UID
'[Helper']]],Table2[[#All],[UID
'[Helper']]],Table2[[#All],[Rate
DKK]],"Not found :(",0,1)</f>
        <v>900</v>
      </c>
      <c r="Q169" s="117">
        <f t="shared" si="21"/>
        <v>4500</v>
      </c>
      <c r="R169" s="118"/>
      <c r="S169" s="118"/>
    </row>
    <row r="170" spans="1:19" ht="13.5">
      <c r="A170" s="144" t="s">
        <v>92</v>
      </c>
      <c r="B170" s="144" t="s">
        <v>139</v>
      </c>
      <c r="C170" s="152" t="s">
        <v>281</v>
      </c>
      <c r="D170" s="153" t="s">
        <v>270</v>
      </c>
      <c r="E170" s="18" t="s">
        <v>46</v>
      </c>
      <c r="F170" s="20">
        <v>45862</v>
      </c>
      <c r="G170" s="21">
        <f t="shared" si="17"/>
        <v>30</v>
      </c>
      <c r="H170" s="21" t="s">
        <v>54</v>
      </c>
      <c r="I170" s="79" t="str">
        <f t="shared" si="20"/>
        <v>7-2025</v>
      </c>
      <c r="J170" s="86" t="str">
        <f>(YEAR(F170)&amp;TEXT(Table1[[#This Row],[Week]],"00"))</f>
        <v>202530</v>
      </c>
      <c r="K170" s="79" t="str">
        <f>_xlfn.TEXTJOIN("-",TRUE,Table1[[#This Row],[Client]],Table1[[#This Row],[Budget ID]],Table1[[#This Row],[Ressource
'[Initials']]])</f>
        <v>Novo Nordisk-240017-5-ML</v>
      </c>
      <c r="L170" s="19" t="s">
        <v>307</v>
      </c>
      <c r="M170" s="22"/>
      <c r="N170" s="22"/>
      <c r="O170" s="23">
        <v>1</v>
      </c>
      <c r="P170" s="117" cm="1">
        <f t="array" ref="P170">_xlfn.XLOOKUP(Table1[[#This Row],[UID
'[Helper']]],Table2[[#All],[UID
'[Helper']]],Table2[[#All],[Rate
DKK]],"Not found :(",0,1)</f>
        <v>900</v>
      </c>
      <c r="Q170" s="117">
        <f t="shared" si="21"/>
        <v>900</v>
      </c>
      <c r="R170" s="118"/>
      <c r="S170" s="118"/>
    </row>
    <row r="171" spans="1:19" ht="13.5">
      <c r="A171" s="18" t="s">
        <v>92</v>
      </c>
      <c r="B171" s="18" t="s">
        <v>145</v>
      </c>
      <c r="C171" s="19"/>
      <c r="D171" s="157">
        <v>240019</v>
      </c>
      <c r="E171" s="18" t="s">
        <v>46</v>
      </c>
      <c r="F171" s="20">
        <v>45862</v>
      </c>
      <c r="G171" s="21">
        <f t="shared" si="17"/>
        <v>30</v>
      </c>
      <c r="H171" s="21" t="s">
        <v>20</v>
      </c>
      <c r="I171" s="79" t="str">
        <f t="shared" si="20"/>
        <v>7-2025</v>
      </c>
      <c r="J171" s="86" t="str">
        <f>(YEAR(F171)&amp;TEXT(Table1[[#This Row],[Week]],"00"))</f>
        <v>202530</v>
      </c>
      <c r="K171" s="79" t="str">
        <f>_xlfn.TEXTJOIN("-",TRUE,Table1[[#This Row],[Client]],Table1[[#This Row],[Budget ID]],Table1[[#This Row],[Ressource
'[Initials']]])</f>
        <v>Novo Nordisk-240019-DS</v>
      </c>
      <c r="L171" s="19" t="s">
        <v>309</v>
      </c>
      <c r="M171" s="22"/>
      <c r="N171" s="22"/>
      <c r="O171" s="23">
        <v>1.5</v>
      </c>
      <c r="P171" s="117" cm="1">
        <f t="array" ref="P171">_xlfn.XLOOKUP(Table1[[#This Row],[UID
'[Helper']]],Table2[[#All],[UID
'[Helper']]],Table2[[#All],[Rate
DKK]],"Not found :(",0,1)</f>
        <v>900</v>
      </c>
      <c r="Q171" s="117">
        <f t="shared" si="21"/>
        <v>1350</v>
      </c>
      <c r="R171" s="118"/>
      <c r="S171" s="118"/>
    </row>
    <row r="172" spans="1:19" ht="27">
      <c r="A172" s="144" t="s">
        <v>92</v>
      </c>
      <c r="B172" s="144" t="s">
        <v>139</v>
      </c>
      <c r="C172" s="152" t="s">
        <v>281</v>
      </c>
      <c r="D172" s="153" t="s">
        <v>270</v>
      </c>
      <c r="E172" s="18" t="s">
        <v>46</v>
      </c>
      <c r="F172" s="20">
        <v>45862</v>
      </c>
      <c r="G172" s="21">
        <f t="shared" si="17"/>
        <v>30</v>
      </c>
      <c r="H172" s="21" t="s">
        <v>20</v>
      </c>
      <c r="I172" s="79" t="str">
        <f t="shared" si="20"/>
        <v>7-2025</v>
      </c>
      <c r="J172" s="86" t="str">
        <f>(YEAR(F172)&amp;TEXT(Table1[[#This Row],[Week]],"00"))</f>
        <v>202530</v>
      </c>
      <c r="K172" s="79" t="str">
        <f>_xlfn.TEXTJOIN("-",TRUE,Table1[[#This Row],[Client]],Table1[[#This Row],[Budget ID]],Table1[[#This Row],[Ressource
'[Initials']]])</f>
        <v>Novo Nordisk-240017-5-DS</v>
      </c>
      <c r="L172" s="19" t="s">
        <v>310</v>
      </c>
      <c r="M172" s="22"/>
      <c r="N172" s="22"/>
      <c r="O172" s="23">
        <v>6.5</v>
      </c>
      <c r="P172" s="117" cm="1">
        <f t="array" ref="P172">_xlfn.XLOOKUP(Table1[[#This Row],[UID
'[Helper']]],Table2[[#All],[UID
'[Helper']]],Table2[[#All],[Rate
DKK]],"Not found :(",0,1)</f>
        <v>900</v>
      </c>
      <c r="Q172" s="117">
        <f t="shared" si="21"/>
        <v>5850</v>
      </c>
      <c r="R172" s="118"/>
      <c r="S172" s="118"/>
    </row>
    <row r="173" spans="1:19" ht="13.5">
      <c r="A173" s="18" t="s">
        <v>92</v>
      </c>
      <c r="B173" s="18" t="s">
        <v>139</v>
      </c>
      <c r="C173" s="19" t="s">
        <v>281</v>
      </c>
      <c r="D173" s="49" t="s">
        <v>270</v>
      </c>
      <c r="E173" s="18" t="s">
        <v>46</v>
      </c>
      <c r="F173" s="20">
        <v>45862</v>
      </c>
      <c r="G173" s="21">
        <f t="shared" si="17"/>
        <v>30</v>
      </c>
      <c r="H173" s="21" t="s">
        <v>22</v>
      </c>
      <c r="I173" s="79" t="str">
        <f t="shared" si="20"/>
        <v>7-2025</v>
      </c>
      <c r="J173" s="86" t="str">
        <f>(YEAR(F173)&amp;TEXT(Table1[[#This Row],[Week]],"00"))</f>
        <v>202530</v>
      </c>
      <c r="K173" s="79" t="str">
        <f>_xlfn.TEXTJOIN("-",TRUE,Table1[[#This Row],[Client]],Table1[[#This Row],[Budget ID]],Table1[[#This Row],[Ressource
'[Initials']]])</f>
        <v>Novo Nordisk-240017-5-MS</v>
      </c>
      <c r="L173" s="19" t="s">
        <v>318</v>
      </c>
      <c r="M173" s="22"/>
      <c r="N173" s="22"/>
      <c r="O173" s="23">
        <v>1</v>
      </c>
      <c r="P173" s="117" cm="1">
        <f t="array" ref="P173">_xlfn.XLOOKUP(Table1[[#This Row],[UID
'[Helper']]],Table2[[#All],[UID
'[Helper']]],Table2[[#All],[Rate
DKK]],"Not found :(",0,1)</f>
        <v>900</v>
      </c>
      <c r="Q173" s="117">
        <f t="shared" si="21"/>
        <v>900</v>
      </c>
      <c r="R173" s="118"/>
      <c r="S173" s="118"/>
    </row>
    <row r="174" spans="1:19" ht="13.5">
      <c r="A174" s="18" t="s">
        <v>143</v>
      </c>
      <c r="B174" s="18" t="s">
        <v>144</v>
      </c>
      <c r="C174" s="19"/>
      <c r="D174" s="157">
        <v>240018</v>
      </c>
      <c r="E174" s="18" t="s">
        <v>79</v>
      </c>
      <c r="F174" s="20">
        <v>45863</v>
      </c>
      <c r="G174" s="21">
        <f t="shared" si="17"/>
        <v>30</v>
      </c>
      <c r="H174" s="21" t="s">
        <v>22</v>
      </c>
      <c r="I174" s="79" t="str">
        <f t="shared" si="20"/>
        <v>7-2025</v>
      </c>
      <c r="J174" s="86" t="str">
        <f>(YEAR(F174)&amp;TEXT(Table1[[#This Row],[Week]],"00"))</f>
        <v>202530</v>
      </c>
      <c r="K174" s="79" t="str">
        <f>_xlfn.TEXTJOIN("-",TRUE,Table1[[#This Row],[Client]],Table1[[#This Row],[Budget ID]],Table1[[#This Row],[Ressource
'[Initials']]])</f>
        <v>CCRM-240018-MS</v>
      </c>
      <c r="L174" s="19" t="s">
        <v>280</v>
      </c>
      <c r="M174" s="22"/>
      <c r="N174" s="22"/>
      <c r="O174" s="23">
        <v>3</v>
      </c>
      <c r="P174" s="117" cm="1">
        <f t="array" ref="P174">_xlfn.XLOOKUP(Table1[[#This Row],[UID
'[Helper']]],Table2[[#All],[UID
'[Helper']]],Table2[[#All],[Rate
DKK]],"Not found :(",0,1)</f>
        <v>900</v>
      </c>
      <c r="Q174" s="117">
        <f t="shared" si="21"/>
        <v>2700</v>
      </c>
      <c r="R174" s="118" t="s">
        <v>20</v>
      </c>
      <c r="S174" s="118"/>
    </row>
    <row r="175" spans="1:19" ht="13.5">
      <c r="A175" s="18" t="s">
        <v>92</v>
      </c>
      <c r="B175" s="18" t="s">
        <v>275</v>
      </c>
      <c r="C175" s="19" t="s">
        <v>276</v>
      </c>
      <c r="D175" s="49">
        <v>250501</v>
      </c>
      <c r="E175" s="18" t="s">
        <v>46</v>
      </c>
      <c r="F175" s="20">
        <v>45863</v>
      </c>
      <c r="G175" s="21">
        <f t="shared" si="17"/>
        <v>30</v>
      </c>
      <c r="H175" s="21" t="s">
        <v>20</v>
      </c>
      <c r="I175" s="79" t="str">
        <f t="shared" si="20"/>
        <v>7-2025</v>
      </c>
      <c r="J175" s="86" t="str">
        <f>(YEAR(F175)&amp;TEXT(Table1[[#This Row],[Week]],"00"))</f>
        <v>202530</v>
      </c>
      <c r="K175" s="79" t="str">
        <f>_xlfn.TEXTJOIN("-",TRUE,Table1[[#This Row],[Client]],Table1[[#This Row],[Budget ID]],Table1[[#This Row],[Ressource
'[Initials']]])</f>
        <v>Novo Nordisk-250501-DS</v>
      </c>
      <c r="L175" s="19" t="s">
        <v>311</v>
      </c>
      <c r="M175" s="22"/>
      <c r="N175" s="22"/>
      <c r="O175" s="23">
        <v>1</v>
      </c>
      <c r="P175" s="117" cm="1">
        <f t="array" ref="P175">_xlfn.XLOOKUP(Table1[[#This Row],[UID
'[Helper']]],Table2[[#All],[UID
'[Helper']]],Table2[[#All],[Rate
DKK]],"Not found :(",0,1)</f>
        <v>900</v>
      </c>
      <c r="Q175" s="117">
        <f t="shared" si="21"/>
        <v>900</v>
      </c>
      <c r="R175" s="118"/>
      <c r="S175" s="118"/>
    </row>
    <row r="176" spans="1:19" ht="13.5">
      <c r="A176" s="18" t="s">
        <v>92</v>
      </c>
      <c r="B176" s="18" t="s">
        <v>139</v>
      </c>
      <c r="C176" s="19" t="s">
        <v>281</v>
      </c>
      <c r="D176" s="157" t="s">
        <v>270</v>
      </c>
      <c r="E176" s="18" t="s">
        <v>46</v>
      </c>
      <c r="F176" s="20">
        <v>45863</v>
      </c>
      <c r="G176" s="21">
        <f t="shared" si="17"/>
        <v>30</v>
      </c>
      <c r="H176" s="21" t="s">
        <v>22</v>
      </c>
      <c r="I176" s="79" t="str">
        <f t="shared" si="20"/>
        <v>7-2025</v>
      </c>
      <c r="J176" s="86" t="str">
        <f>(YEAR(F176)&amp;TEXT(Table1[[#This Row],[Week]],"00"))</f>
        <v>202530</v>
      </c>
      <c r="K176" s="79" t="str">
        <f>_xlfn.TEXTJOIN("-",TRUE,Table1[[#This Row],[Client]],Table1[[#This Row],[Budget ID]],Table1[[#This Row],[Ressource
'[Initials']]])</f>
        <v>Novo Nordisk-240017-5-MS</v>
      </c>
      <c r="L176" s="19" t="s">
        <v>318</v>
      </c>
      <c r="M176" s="22"/>
      <c r="N176" s="22"/>
      <c r="O176" s="23">
        <v>1</v>
      </c>
      <c r="P176" s="117" cm="1">
        <f t="array" ref="P176">_xlfn.XLOOKUP(Table1[[#This Row],[UID
'[Helper']]],Table2[[#All],[UID
'[Helper']]],Table2[[#All],[Rate
DKK]],"Not found :(",0,1)</f>
        <v>900</v>
      </c>
      <c r="Q176" s="117">
        <f t="shared" si="21"/>
        <v>900</v>
      </c>
      <c r="R176" s="118"/>
      <c r="S176" s="118"/>
    </row>
    <row r="177" spans="1:19" ht="13.5">
      <c r="A177" s="155" t="s">
        <v>92</v>
      </c>
      <c r="B177" s="155" t="s">
        <v>269</v>
      </c>
      <c r="C177" s="19" t="s">
        <v>361</v>
      </c>
      <c r="D177" s="157">
        <v>250402</v>
      </c>
      <c r="E177" s="155" t="s">
        <v>46</v>
      </c>
      <c r="F177" s="20">
        <v>45866</v>
      </c>
      <c r="G177" s="21">
        <f t="shared" si="17"/>
        <v>31</v>
      </c>
      <c r="H177" s="21" t="s">
        <v>20</v>
      </c>
      <c r="I177" s="79" t="str">
        <f t="shared" si="20"/>
        <v>7-2025</v>
      </c>
      <c r="J177" s="86" t="str">
        <f>(YEAR(F177)&amp;TEXT(Table1[[#This Row],[Week]],"00"))</f>
        <v>202531</v>
      </c>
      <c r="K177" s="79" t="str">
        <f>_xlfn.TEXTJOIN("-",TRUE,Table1[[#This Row],[Client]],Table1[[#This Row],[Budget ID]],Table1[[#This Row],[Ressource
'[Initials']]])</f>
        <v>Novo Nordisk-250402-DS</v>
      </c>
      <c r="L177" s="19" t="s">
        <v>312</v>
      </c>
      <c r="M177" s="22"/>
      <c r="N177" s="22"/>
      <c r="O177" s="23">
        <v>1.5</v>
      </c>
      <c r="P177" s="117" cm="1">
        <f t="array" ref="P177">_xlfn.XLOOKUP(Table1[[#This Row],[UID
'[Helper']]],Table2[[#All],[UID
'[Helper']]],Table2[[#All],[Rate
DKK]],"Not found :(",0,1)</f>
        <v>900</v>
      </c>
      <c r="Q177" s="117">
        <f t="shared" si="21"/>
        <v>1350</v>
      </c>
      <c r="R177" s="118"/>
      <c r="S177" s="118"/>
    </row>
    <row r="178" spans="1:19" ht="13.5">
      <c r="A178" s="18" t="s">
        <v>92</v>
      </c>
      <c r="B178" s="18" t="s">
        <v>269</v>
      </c>
      <c r="C178" s="19" t="s">
        <v>361</v>
      </c>
      <c r="D178" s="157">
        <v>250402</v>
      </c>
      <c r="E178" s="18" t="s">
        <v>46</v>
      </c>
      <c r="F178" s="20">
        <v>45866</v>
      </c>
      <c r="G178" s="21">
        <f t="shared" si="17"/>
        <v>31</v>
      </c>
      <c r="H178" s="21" t="s">
        <v>22</v>
      </c>
      <c r="I178" s="79" t="str">
        <f t="shared" si="20"/>
        <v>7-2025</v>
      </c>
      <c r="J178" s="86" t="str">
        <f>(YEAR(F178)&amp;TEXT(Table1[[#This Row],[Week]],"00"))</f>
        <v>202531</v>
      </c>
      <c r="K178" s="79" t="str">
        <f>_xlfn.TEXTJOIN("-",TRUE,Table1[[#This Row],[Client]],Table1[[#This Row],[Budget ID]],Table1[[#This Row],[Ressource
'[Initials']]])</f>
        <v>Novo Nordisk-250402-MS</v>
      </c>
      <c r="L178" s="19" t="s">
        <v>314</v>
      </c>
      <c r="M178" s="22"/>
      <c r="N178" s="22"/>
      <c r="O178" s="23">
        <v>2</v>
      </c>
      <c r="P178" s="117" cm="1">
        <f t="array" ref="P178">_xlfn.XLOOKUP(Table1[[#This Row],[UID
'[Helper']]],Table2[[#All],[UID
'[Helper']]],Table2[[#All],[Rate
DKK]],"Not found :(",0,1)</f>
        <v>900</v>
      </c>
      <c r="Q178" s="117">
        <f t="shared" si="21"/>
        <v>1800</v>
      </c>
      <c r="R178" s="118"/>
      <c r="S178" s="118"/>
    </row>
    <row r="179" spans="1:19" ht="27">
      <c r="A179" s="155" t="s">
        <v>92</v>
      </c>
      <c r="B179" s="155" t="s">
        <v>139</v>
      </c>
      <c r="C179" s="156" t="s">
        <v>281</v>
      </c>
      <c r="D179" s="157" t="s">
        <v>270</v>
      </c>
      <c r="E179" s="155" t="s">
        <v>46</v>
      </c>
      <c r="F179" s="158">
        <v>45866</v>
      </c>
      <c r="G179" s="21">
        <f t="shared" si="17"/>
        <v>31</v>
      </c>
      <c r="H179" s="21" t="s">
        <v>20</v>
      </c>
      <c r="I179" s="79" t="str">
        <f t="shared" si="20"/>
        <v>7-2025</v>
      </c>
      <c r="J179" s="86" t="str">
        <f>(YEAR(F179)&amp;TEXT(Table1[[#This Row],[Week]],"00"))</f>
        <v>202531</v>
      </c>
      <c r="K179" s="79" t="str">
        <f>_xlfn.TEXTJOIN("-",TRUE,Table1[[#This Row],[Client]],Table1[[#This Row],[Budget ID]],Table1[[#This Row],[Ressource
'[Initials']]])</f>
        <v>Novo Nordisk-240017-5-DS</v>
      </c>
      <c r="L179" s="19" t="s">
        <v>313</v>
      </c>
      <c r="M179" s="22"/>
      <c r="N179" s="22"/>
      <c r="O179" s="23">
        <v>7.5</v>
      </c>
      <c r="P179" s="117" cm="1">
        <f t="array" ref="P179">_xlfn.XLOOKUP(Table1[[#This Row],[UID
'[Helper']]],Table2[[#All],[UID
'[Helper']]],Table2[[#All],[Rate
DKK]],"Not found :(",0,1)</f>
        <v>900</v>
      </c>
      <c r="Q179" s="117">
        <f t="shared" si="21"/>
        <v>6750</v>
      </c>
      <c r="R179" s="118"/>
      <c r="S179" s="118"/>
    </row>
    <row r="180" spans="1:19" ht="13.5">
      <c r="A180" s="18" t="s">
        <v>92</v>
      </c>
      <c r="B180" s="18" t="s">
        <v>139</v>
      </c>
      <c r="C180" s="19" t="s">
        <v>281</v>
      </c>
      <c r="D180" s="49" t="s">
        <v>270</v>
      </c>
      <c r="E180" s="18" t="s">
        <v>46</v>
      </c>
      <c r="F180" s="20">
        <v>45866</v>
      </c>
      <c r="G180" s="21">
        <f t="shared" si="17"/>
        <v>31</v>
      </c>
      <c r="H180" s="21" t="s">
        <v>22</v>
      </c>
      <c r="I180" s="79" t="str">
        <f t="shared" si="20"/>
        <v>7-2025</v>
      </c>
      <c r="J180" s="86" t="str">
        <f>(YEAR(F180)&amp;TEXT(Table1[[#This Row],[Week]],"00"))</f>
        <v>202531</v>
      </c>
      <c r="K180" s="79" t="str">
        <f>_xlfn.TEXTJOIN("-",TRUE,Table1[[#This Row],[Client]],Table1[[#This Row],[Budget ID]],Table1[[#This Row],[Ressource
'[Initials']]])</f>
        <v>Novo Nordisk-240017-5-MS</v>
      </c>
      <c r="L180" s="19" t="s">
        <v>317</v>
      </c>
      <c r="M180" s="22"/>
      <c r="N180" s="22"/>
      <c r="O180" s="23">
        <v>1</v>
      </c>
      <c r="P180" s="117" cm="1">
        <f t="array" ref="P180">_xlfn.XLOOKUP(Table1[[#This Row],[UID
'[Helper']]],Table2[[#All],[UID
'[Helper']]],Table2[[#All],[Rate
DKK]],"Not found :(",0,1)</f>
        <v>900</v>
      </c>
      <c r="Q180" s="117">
        <f t="shared" si="21"/>
        <v>900</v>
      </c>
      <c r="R180" s="118"/>
      <c r="S180" s="118"/>
    </row>
    <row r="181" spans="1:19" ht="13.5">
      <c r="A181" s="18" t="s">
        <v>14</v>
      </c>
      <c r="B181" s="18" t="s">
        <v>24</v>
      </c>
      <c r="C181" s="19" t="s">
        <v>71</v>
      </c>
      <c r="D181" s="49" t="s">
        <v>218</v>
      </c>
      <c r="E181" s="18" t="s">
        <v>37</v>
      </c>
      <c r="F181" s="20">
        <v>45866</v>
      </c>
      <c r="G181" s="21">
        <f t="shared" si="17"/>
        <v>31</v>
      </c>
      <c r="H181" s="21" t="s">
        <v>22</v>
      </c>
      <c r="I181" s="79" t="str">
        <f t="shared" si="20"/>
        <v>7-2025</v>
      </c>
      <c r="J181" s="86" t="str">
        <f>(YEAR(F181)&amp;TEXT(Table1[[#This Row],[Week]],"00"))</f>
        <v>202531</v>
      </c>
      <c r="K181" s="79" t="str">
        <f>_xlfn.TEXTJOIN("-",TRUE,Table1[[#This Row],[Client]],Table1[[#This Row],[Budget ID]],Table1[[#This Row],[Ressource
'[Initials']]])</f>
        <v>Labflex-230003-1-MS</v>
      </c>
      <c r="L181" s="19" t="s">
        <v>316</v>
      </c>
      <c r="M181" s="22"/>
      <c r="N181" s="22"/>
      <c r="O181" s="23">
        <v>1.5</v>
      </c>
      <c r="P181" s="117" cm="1">
        <f t="array" ref="P181">_xlfn.XLOOKUP(Table1[[#This Row],[UID
'[Helper']]],Table2[[#All],[UID
'[Helper']]],Table2[[#All],[Rate
DKK]],"Not found :(",0,1)</f>
        <v>900</v>
      </c>
      <c r="Q181" s="117">
        <f t="shared" si="21"/>
        <v>1350</v>
      </c>
      <c r="R181" s="118"/>
      <c r="S181" s="118"/>
    </row>
    <row r="182" spans="1:19" ht="13.5">
      <c r="A182" s="18" t="s">
        <v>14</v>
      </c>
      <c r="B182" s="18" t="s">
        <v>24</v>
      </c>
      <c r="C182" s="19" t="s">
        <v>273</v>
      </c>
      <c r="D182" s="157" t="s">
        <v>218</v>
      </c>
      <c r="E182" s="18" t="s">
        <v>79</v>
      </c>
      <c r="F182" s="20">
        <v>45866</v>
      </c>
      <c r="G182" s="21">
        <f t="shared" si="17"/>
        <v>31</v>
      </c>
      <c r="H182" s="21" t="s">
        <v>22</v>
      </c>
      <c r="I182" s="79" t="str">
        <f t="shared" si="20"/>
        <v>7-2025</v>
      </c>
      <c r="J182" s="86" t="str">
        <f>(YEAR(F182)&amp;TEXT(Table1[[#This Row],[Week]],"00"))</f>
        <v>202531</v>
      </c>
      <c r="K182" s="79" t="str">
        <f>_xlfn.TEXTJOIN("-",TRUE,Table1[[#This Row],[Client]],Table1[[#This Row],[Budget ID]],Table1[[#This Row],[Ressource
'[Initials']]])</f>
        <v>Labflex-230003-1-MS</v>
      </c>
      <c r="L182" s="19" t="s">
        <v>315</v>
      </c>
      <c r="M182" s="22"/>
      <c r="N182" s="22"/>
      <c r="O182" s="23">
        <v>1</v>
      </c>
      <c r="P182" s="117" cm="1">
        <f t="array" ref="P182">_xlfn.XLOOKUP(Table1[[#This Row],[UID
'[Helper']]],Table2[[#All],[UID
'[Helper']]],Table2[[#All],[Rate
DKK]],"Not found :(",0,1)</f>
        <v>900</v>
      </c>
      <c r="Q182" s="117">
        <f t="shared" si="21"/>
        <v>900</v>
      </c>
      <c r="R182" s="118"/>
      <c r="S182" s="118"/>
    </row>
    <row r="183" spans="1:19" ht="13.5">
      <c r="A183" s="18" t="s">
        <v>14</v>
      </c>
      <c r="B183" s="18" t="s">
        <v>24</v>
      </c>
      <c r="C183" s="19" t="s">
        <v>277</v>
      </c>
      <c r="D183" s="49" t="s">
        <v>218</v>
      </c>
      <c r="E183" s="18" t="s">
        <v>79</v>
      </c>
      <c r="F183" s="20">
        <v>45866</v>
      </c>
      <c r="G183" s="21">
        <f t="shared" si="17"/>
        <v>31</v>
      </c>
      <c r="H183" s="21" t="s">
        <v>22</v>
      </c>
      <c r="I183" s="79" t="str">
        <f t="shared" si="20"/>
        <v>7-2025</v>
      </c>
      <c r="J183" s="86" t="str">
        <f>(YEAR(F183)&amp;TEXT(Table1[[#This Row],[Week]],"00"))</f>
        <v>202531</v>
      </c>
      <c r="K183" s="79" t="str">
        <f>_xlfn.TEXTJOIN("-",TRUE,Table1[[#This Row],[Client]],Table1[[#This Row],[Budget ID]],Table1[[#This Row],[Ressource
'[Initials']]])</f>
        <v>Labflex-230003-1-MS</v>
      </c>
      <c r="L183" s="19" t="s">
        <v>315</v>
      </c>
      <c r="M183" s="22"/>
      <c r="N183" s="22"/>
      <c r="O183" s="23">
        <v>1</v>
      </c>
      <c r="P183" s="117" cm="1">
        <f t="array" ref="P183">_xlfn.XLOOKUP(Table1[[#This Row],[UID
'[Helper']]],Table2[[#All],[UID
'[Helper']]],Table2[[#All],[Rate
DKK]],"Not found :(",0,1)</f>
        <v>900</v>
      </c>
      <c r="Q183" s="117">
        <f t="shared" si="21"/>
        <v>900</v>
      </c>
      <c r="R183" s="118"/>
      <c r="S183" s="118"/>
    </row>
    <row r="184" spans="1:19" ht="13.5">
      <c r="A184" s="18" t="s">
        <v>259</v>
      </c>
      <c r="B184" s="18" t="s">
        <v>260</v>
      </c>
      <c r="C184" s="19"/>
      <c r="D184" s="157">
        <v>250401</v>
      </c>
      <c r="E184" s="18" t="s">
        <v>46</v>
      </c>
      <c r="F184" s="20">
        <v>45866</v>
      </c>
      <c r="G184" s="21">
        <f t="shared" si="17"/>
        <v>31</v>
      </c>
      <c r="H184" s="21" t="s">
        <v>22</v>
      </c>
      <c r="I184" s="79" t="str">
        <f t="shared" si="20"/>
        <v>7-2025</v>
      </c>
      <c r="J184" s="86" t="str">
        <f>(YEAR(F184)&amp;TEXT(Table1[[#This Row],[Week]],"00"))</f>
        <v>202531</v>
      </c>
      <c r="K184" s="79" t="str">
        <f>_xlfn.TEXTJOIN("-",TRUE,Table1[[#This Row],[Client]],Table1[[#This Row],[Budget ID]],Table1[[#This Row],[Ressource
'[Initials']]])</f>
        <v>DLF Seeds-250401-MS</v>
      </c>
      <c r="L184" s="19" t="s">
        <v>348</v>
      </c>
      <c r="M184" s="22"/>
      <c r="N184" s="22"/>
      <c r="O184" s="23">
        <v>1</v>
      </c>
      <c r="P184" s="117" cm="1">
        <f t="array" ref="P184">_xlfn.XLOOKUP(Table1[[#This Row],[UID
'[Helper']]],Table2[[#All],[UID
'[Helper']]],Table2[[#All],[Rate
DKK]],"Not found :(",0,1)</f>
        <v>900</v>
      </c>
      <c r="Q184" s="117">
        <f t="shared" si="21"/>
        <v>900</v>
      </c>
      <c r="R184" s="118"/>
      <c r="S184" s="118"/>
    </row>
    <row r="185" spans="1:19" ht="13.5">
      <c r="A185" s="42" t="s">
        <v>14</v>
      </c>
      <c r="B185" s="43" t="s">
        <v>24</v>
      </c>
      <c r="C185" s="44" t="s">
        <v>268</v>
      </c>
      <c r="D185" s="157" t="s">
        <v>218</v>
      </c>
      <c r="E185" s="43" t="s">
        <v>79</v>
      </c>
      <c r="F185" s="20">
        <v>45866</v>
      </c>
      <c r="G185" s="45">
        <f t="shared" ref="G185:G238" si="22">WEEKNUM($F185,21)</f>
        <v>31</v>
      </c>
      <c r="H185" s="45" t="s">
        <v>22</v>
      </c>
      <c r="I185" s="79" t="str">
        <f t="shared" si="20"/>
        <v>7-2025</v>
      </c>
      <c r="J185" s="86" t="str">
        <f>(YEAR(F185)&amp;TEXT(Table1[[#This Row],[Week]],"00"))</f>
        <v>202531</v>
      </c>
      <c r="K185" s="79" t="str">
        <f>_xlfn.TEXTJOIN("-",TRUE,Table1[[#This Row],[Client]],Table1[[#This Row],[Budget ID]],Table1[[#This Row],[Ressource
'[Initials']]])</f>
        <v>Labflex-230003-1-MS</v>
      </c>
      <c r="L185" s="19" t="s">
        <v>315</v>
      </c>
      <c r="M185" s="22"/>
      <c r="N185" s="22"/>
      <c r="O185" s="23">
        <v>2.5</v>
      </c>
      <c r="P185" s="117" cm="1">
        <f t="array" ref="P185">_xlfn.XLOOKUP(Table1[[#This Row],[UID
'[Helper']]],Table2[[#All],[UID
'[Helper']]],Table2[[#All],[Rate
DKK]],"Not found :(",0,1)</f>
        <v>900</v>
      </c>
      <c r="Q185" s="117">
        <f t="shared" si="21"/>
        <v>2250</v>
      </c>
      <c r="R185" s="118"/>
      <c r="S185" s="118"/>
    </row>
    <row r="186" spans="1:19" ht="13.5">
      <c r="A186" s="42" t="s">
        <v>14</v>
      </c>
      <c r="B186" s="43" t="s">
        <v>24</v>
      </c>
      <c r="C186" s="44" t="s">
        <v>268</v>
      </c>
      <c r="D186" s="157" t="s">
        <v>218</v>
      </c>
      <c r="E186" s="43" t="s">
        <v>79</v>
      </c>
      <c r="F186" s="20">
        <v>45867</v>
      </c>
      <c r="G186" s="21">
        <f t="shared" si="22"/>
        <v>31</v>
      </c>
      <c r="H186" s="21" t="s">
        <v>22</v>
      </c>
      <c r="I186" s="79" t="str">
        <f t="shared" si="20"/>
        <v>7-2025</v>
      </c>
      <c r="J186" s="86" t="str">
        <f>(YEAR(F186)&amp;TEXT(Table1[[#This Row],[Week]],"00"))</f>
        <v>202531</v>
      </c>
      <c r="K186" s="79" t="str">
        <f>_xlfn.TEXTJOIN("-",TRUE,Table1[[#This Row],[Client]],Table1[[#This Row],[Budget ID]],Table1[[#This Row],[Ressource
'[Initials']]])</f>
        <v>Labflex-230003-1-MS</v>
      </c>
      <c r="L186" s="19" t="s">
        <v>319</v>
      </c>
      <c r="M186" s="22"/>
      <c r="N186" s="22"/>
      <c r="O186" s="23">
        <v>4</v>
      </c>
      <c r="P186" s="117" cm="1">
        <f t="array" ref="P186">_xlfn.XLOOKUP(Table1[[#This Row],[UID
'[Helper']]],Table2[[#All],[UID
'[Helper']]],Table2[[#All],[Rate
DKK]],"Not found :(",0,1)</f>
        <v>900</v>
      </c>
      <c r="Q186" s="117">
        <f t="shared" si="21"/>
        <v>3600</v>
      </c>
      <c r="R186" s="118"/>
      <c r="S186" s="118"/>
    </row>
    <row r="187" spans="1:19" ht="13.5">
      <c r="A187" s="42" t="s">
        <v>14</v>
      </c>
      <c r="B187" s="43" t="s">
        <v>24</v>
      </c>
      <c r="C187" s="44" t="s">
        <v>71</v>
      </c>
      <c r="D187" s="49" t="s">
        <v>218</v>
      </c>
      <c r="E187" s="43" t="s">
        <v>37</v>
      </c>
      <c r="F187" s="20">
        <v>45867</v>
      </c>
      <c r="G187" s="21">
        <f t="shared" si="22"/>
        <v>31</v>
      </c>
      <c r="H187" s="21" t="s">
        <v>22</v>
      </c>
      <c r="I187" s="79" t="str">
        <f t="shared" si="20"/>
        <v>7-2025</v>
      </c>
      <c r="J187" s="86" t="str">
        <f>(YEAR(F187)&amp;TEXT(Table1[[#This Row],[Week]],"00"))</f>
        <v>202531</v>
      </c>
      <c r="K187" s="79" t="str">
        <f>_xlfn.TEXTJOIN("-",TRUE,Table1[[#This Row],[Client]],Table1[[#This Row],[Budget ID]],Table1[[#This Row],[Ressource
'[Initials']]])</f>
        <v>Labflex-230003-1-MS</v>
      </c>
      <c r="L187" s="19" t="s">
        <v>322</v>
      </c>
      <c r="M187" s="22"/>
      <c r="N187" s="22"/>
      <c r="O187" s="23">
        <v>1</v>
      </c>
      <c r="P187" s="117" cm="1">
        <f t="array" ref="P187">_xlfn.XLOOKUP(Table1[[#This Row],[UID
'[Helper']]],Table2[[#All],[UID
'[Helper']]],Table2[[#All],[Rate
DKK]],"Not found :(",0,1)</f>
        <v>900</v>
      </c>
      <c r="Q187" s="117">
        <f t="shared" si="21"/>
        <v>900</v>
      </c>
      <c r="R187" s="118"/>
      <c r="S187" s="118"/>
    </row>
    <row r="188" spans="1:19" ht="13.5">
      <c r="A188" s="18" t="s">
        <v>14</v>
      </c>
      <c r="B188" s="18" t="s">
        <v>24</v>
      </c>
      <c r="C188" s="19" t="s">
        <v>273</v>
      </c>
      <c r="D188" s="157" t="s">
        <v>218</v>
      </c>
      <c r="E188" s="18" t="s">
        <v>79</v>
      </c>
      <c r="F188" s="20">
        <v>45867</v>
      </c>
      <c r="G188" s="21">
        <f t="shared" si="22"/>
        <v>31</v>
      </c>
      <c r="H188" s="21" t="s">
        <v>22</v>
      </c>
      <c r="I188" s="79" t="str">
        <f t="shared" si="20"/>
        <v>7-2025</v>
      </c>
      <c r="J188" s="86" t="str">
        <f>(YEAR(F188)&amp;TEXT(Table1[[#This Row],[Week]],"00"))</f>
        <v>202531</v>
      </c>
      <c r="K188" s="79" t="str">
        <f>_xlfn.TEXTJOIN("-",TRUE,Table1[[#This Row],[Client]],Table1[[#This Row],[Budget ID]],Table1[[#This Row],[Ressource
'[Initials']]])</f>
        <v>Labflex-230003-1-MS</v>
      </c>
      <c r="L188" s="19" t="s">
        <v>324</v>
      </c>
      <c r="M188" s="22"/>
      <c r="N188" s="22"/>
      <c r="O188" s="23">
        <v>1</v>
      </c>
      <c r="P188" s="117" cm="1">
        <f t="array" ref="P188">_xlfn.XLOOKUP(Table1[[#This Row],[UID
'[Helper']]],Table2[[#All],[UID
'[Helper']]],Table2[[#All],[Rate
DKK]],"Not found :(",0,1)</f>
        <v>900</v>
      </c>
      <c r="Q188" s="117">
        <f t="shared" si="21"/>
        <v>900</v>
      </c>
      <c r="R188" s="118"/>
      <c r="S188" s="118"/>
    </row>
    <row r="189" spans="1:19" ht="13.5">
      <c r="A189" s="18" t="s">
        <v>14</v>
      </c>
      <c r="B189" s="18" t="s">
        <v>24</v>
      </c>
      <c r="C189" s="19" t="s">
        <v>277</v>
      </c>
      <c r="D189" s="49" t="s">
        <v>218</v>
      </c>
      <c r="E189" s="18" t="s">
        <v>79</v>
      </c>
      <c r="F189" s="20">
        <v>45867</v>
      </c>
      <c r="G189" s="21">
        <f t="shared" si="22"/>
        <v>31</v>
      </c>
      <c r="H189" s="21" t="s">
        <v>22</v>
      </c>
      <c r="I189" s="79" t="str">
        <f t="shared" si="20"/>
        <v>7-2025</v>
      </c>
      <c r="J189" s="86" t="str">
        <f>(YEAR(F189)&amp;TEXT(Table1[[#This Row],[Week]],"00"))</f>
        <v>202531</v>
      </c>
      <c r="K189" s="79" t="str">
        <f>_xlfn.TEXTJOIN("-",TRUE,Table1[[#This Row],[Client]],Table1[[#This Row],[Budget ID]],Table1[[#This Row],[Ressource
'[Initials']]])</f>
        <v>Labflex-230003-1-MS</v>
      </c>
      <c r="L189" s="19" t="s">
        <v>324</v>
      </c>
      <c r="M189" s="22"/>
      <c r="N189" s="22"/>
      <c r="O189" s="23">
        <v>0.5</v>
      </c>
      <c r="P189" s="117" cm="1">
        <f t="array" ref="P189">_xlfn.XLOOKUP(Table1[[#This Row],[UID
'[Helper']]],Table2[[#All],[UID
'[Helper']]],Table2[[#All],[Rate
DKK]],"Not found :(",0,1)</f>
        <v>900</v>
      </c>
      <c r="Q189" s="117">
        <f t="shared" si="21"/>
        <v>450</v>
      </c>
      <c r="R189" s="118"/>
      <c r="S189" s="118"/>
    </row>
    <row r="190" spans="1:19" ht="13.5">
      <c r="A190" s="18" t="s">
        <v>259</v>
      </c>
      <c r="B190" s="18" t="s">
        <v>260</v>
      </c>
      <c r="C190" s="19"/>
      <c r="D190" s="157">
        <v>250401</v>
      </c>
      <c r="E190" s="18" t="s">
        <v>46</v>
      </c>
      <c r="F190" s="20">
        <v>45867</v>
      </c>
      <c r="G190" s="21">
        <f t="shared" si="22"/>
        <v>31</v>
      </c>
      <c r="H190" s="21" t="s">
        <v>22</v>
      </c>
      <c r="I190" s="79" t="str">
        <f t="shared" si="20"/>
        <v>7-2025</v>
      </c>
      <c r="J190" s="86" t="str">
        <f>(YEAR(F190)&amp;TEXT(Table1[[#This Row],[Week]],"00"))</f>
        <v>202531</v>
      </c>
      <c r="K190" s="79" t="str">
        <f>_xlfn.TEXTJOIN("-",TRUE,Table1[[#This Row],[Client]],Table1[[#This Row],[Budget ID]],Table1[[#This Row],[Ressource
'[Initials']]])</f>
        <v>DLF Seeds-250401-MS</v>
      </c>
      <c r="L190" s="19" t="s">
        <v>321</v>
      </c>
      <c r="M190" s="22"/>
      <c r="N190" s="22"/>
      <c r="O190" s="23">
        <v>1</v>
      </c>
      <c r="P190" s="117" cm="1">
        <f t="array" ref="P190">_xlfn.XLOOKUP(Table1[[#This Row],[UID
'[Helper']]],Table2[[#All],[UID
'[Helper']]],Table2[[#All],[Rate
DKK]],"Not found :(",0,1)</f>
        <v>900</v>
      </c>
      <c r="Q190" s="117">
        <f t="shared" si="21"/>
        <v>900</v>
      </c>
      <c r="R190" s="118"/>
      <c r="S190" s="118"/>
    </row>
    <row r="191" spans="1:19" ht="13.5">
      <c r="A191" s="42" t="s">
        <v>92</v>
      </c>
      <c r="B191" s="43" t="s">
        <v>275</v>
      </c>
      <c r="C191" s="44" t="s">
        <v>276</v>
      </c>
      <c r="D191" s="49">
        <v>250501</v>
      </c>
      <c r="E191" s="43" t="s">
        <v>46</v>
      </c>
      <c r="F191" s="20">
        <v>45867</v>
      </c>
      <c r="G191" s="45">
        <f t="shared" si="22"/>
        <v>31</v>
      </c>
      <c r="H191" s="45" t="s">
        <v>22</v>
      </c>
      <c r="I191" s="79" t="str">
        <f t="shared" si="20"/>
        <v>7-2025</v>
      </c>
      <c r="J191" s="86" t="str">
        <f>(YEAR(F191)&amp;TEXT(Table1[[#This Row],[Week]],"00"))</f>
        <v>202531</v>
      </c>
      <c r="K191" s="79" t="str">
        <f>_xlfn.TEXTJOIN("-",TRUE,Table1[[#This Row],[Client]],Table1[[#This Row],[Budget ID]],Table1[[#This Row],[Ressource
'[Initials']]])</f>
        <v>Novo Nordisk-250501-MS</v>
      </c>
      <c r="L191" s="19" t="s">
        <v>320</v>
      </c>
      <c r="M191" s="22"/>
      <c r="N191" s="22"/>
      <c r="O191" s="23">
        <v>1</v>
      </c>
      <c r="P191" s="117" cm="1">
        <f t="array" ref="P191">_xlfn.XLOOKUP(Table1[[#This Row],[UID
'[Helper']]],Table2[[#All],[UID
'[Helper']]],Table2[[#All],[Rate
DKK]],"Not found :(",0,1)</f>
        <v>900</v>
      </c>
      <c r="Q191" s="117">
        <f t="shared" si="21"/>
        <v>900</v>
      </c>
      <c r="R191" s="118"/>
      <c r="S191" s="118"/>
    </row>
    <row r="192" spans="1:19" ht="13.5">
      <c r="A192" s="18" t="s">
        <v>14</v>
      </c>
      <c r="B192" s="18" t="s">
        <v>24</v>
      </c>
      <c r="C192" s="19" t="s">
        <v>71</v>
      </c>
      <c r="D192" s="71" t="s">
        <v>218</v>
      </c>
      <c r="E192" s="18" t="s">
        <v>73</v>
      </c>
      <c r="F192" s="20">
        <v>45867</v>
      </c>
      <c r="G192" s="21">
        <f t="shared" si="22"/>
        <v>31</v>
      </c>
      <c r="H192" s="45" t="s">
        <v>22</v>
      </c>
      <c r="I192" s="79" t="str">
        <f t="shared" si="20"/>
        <v>7-2025</v>
      </c>
      <c r="J192" s="86" t="str">
        <f>(YEAR(F192)&amp;TEXT(Table1[[#This Row],[Week]],"00"))</f>
        <v>202531</v>
      </c>
      <c r="K192" s="79" t="str">
        <f>_xlfn.TEXTJOIN("-",TRUE,Table1[[#This Row],[Client]],Table1[[#This Row],[Budget ID]],Table1[[#This Row],[Ressource
'[Initials']]])</f>
        <v>Labflex-230003-1-MS</v>
      </c>
      <c r="L192" s="19" t="s">
        <v>323</v>
      </c>
      <c r="M192" s="22"/>
      <c r="N192" s="22"/>
      <c r="O192" s="23">
        <v>0.5</v>
      </c>
      <c r="P192" s="117" cm="1">
        <f t="array" ref="P192">_xlfn.XLOOKUP(Table1[[#This Row],[UID
'[Helper']]],Table2[[#All],[UID
'[Helper']]],Table2[[#All],[Rate
DKK]],"Not found :(",0,1)</f>
        <v>900</v>
      </c>
      <c r="Q192" s="117">
        <f t="shared" si="21"/>
        <v>450</v>
      </c>
      <c r="R192" s="118"/>
      <c r="S192" s="118"/>
    </row>
    <row r="193" spans="1:19" ht="13.5">
      <c r="A193" s="18" t="s">
        <v>14</v>
      </c>
      <c r="B193" s="18" t="s">
        <v>24</v>
      </c>
      <c r="C193" s="19" t="s">
        <v>71</v>
      </c>
      <c r="D193" s="49" t="s">
        <v>218</v>
      </c>
      <c r="E193" s="18" t="s">
        <v>73</v>
      </c>
      <c r="F193" s="20">
        <v>45867</v>
      </c>
      <c r="G193" s="21">
        <f t="shared" si="22"/>
        <v>31</v>
      </c>
      <c r="H193" s="21" t="s">
        <v>22</v>
      </c>
      <c r="I193" s="79" t="str">
        <f t="shared" si="20"/>
        <v>7-2025</v>
      </c>
      <c r="J193" s="86" t="str">
        <f>(YEAR(F193)&amp;TEXT(Table1[[#This Row],[Week]],"00"))</f>
        <v>202531</v>
      </c>
      <c r="K193" s="79" t="str">
        <f>_xlfn.TEXTJOIN("-",TRUE,Table1[[#This Row],[Client]],Table1[[#This Row],[Budget ID]],Table1[[#This Row],[Ressource
'[Initials']]])</f>
        <v>Labflex-230003-1-MS</v>
      </c>
      <c r="L193" s="19" t="s">
        <v>323</v>
      </c>
      <c r="M193" s="22"/>
      <c r="N193" s="22"/>
      <c r="O193" s="23">
        <v>0.5</v>
      </c>
      <c r="P193" s="117" cm="1">
        <f t="array" ref="P193">_xlfn.XLOOKUP(Table1[[#This Row],[UID
'[Helper']]],Table2[[#All],[UID
'[Helper']]],Table2[[#All],[Rate
DKK]],"Not found :(",0,1)</f>
        <v>900</v>
      </c>
      <c r="Q193" s="117">
        <f t="shared" si="21"/>
        <v>450</v>
      </c>
      <c r="R193" s="118"/>
      <c r="S193" s="118"/>
    </row>
    <row r="194" spans="1:19" ht="27">
      <c r="A194" s="18" t="s">
        <v>92</v>
      </c>
      <c r="B194" s="18" t="s">
        <v>139</v>
      </c>
      <c r="C194" s="19" t="s">
        <v>281</v>
      </c>
      <c r="D194" s="49" t="s">
        <v>270</v>
      </c>
      <c r="E194" s="18" t="s">
        <v>46</v>
      </c>
      <c r="F194" s="20">
        <v>45867</v>
      </c>
      <c r="G194" s="21">
        <f t="shared" si="22"/>
        <v>31</v>
      </c>
      <c r="H194" s="21" t="s">
        <v>22</v>
      </c>
      <c r="I194" s="79" t="str">
        <f t="shared" si="20"/>
        <v>7-2025</v>
      </c>
      <c r="J194" s="86" t="str">
        <f>(YEAR(F194)&amp;TEXT(Table1[[#This Row],[Week]],"00"))</f>
        <v>202531</v>
      </c>
      <c r="K194" s="79" t="str">
        <f>_xlfn.TEXTJOIN("-",TRUE,Table1[[#This Row],[Client]],Table1[[#This Row],[Budget ID]],Table1[[#This Row],[Ressource
'[Initials']]])</f>
        <v>Novo Nordisk-240017-5-MS</v>
      </c>
      <c r="L194" s="19" t="s">
        <v>325</v>
      </c>
      <c r="M194" s="22"/>
      <c r="N194" s="22"/>
      <c r="O194" s="23">
        <v>1</v>
      </c>
      <c r="P194" s="117" cm="1">
        <f t="array" ref="P194">_xlfn.XLOOKUP(Table1[[#This Row],[UID
'[Helper']]],Table2[[#All],[UID
'[Helper']]],Table2[[#All],[Rate
DKK]],"Not found :(",0,1)</f>
        <v>900</v>
      </c>
      <c r="Q194" s="117">
        <f t="shared" si="21"/>
        <v>900</v>
      </c>
      <c r="R194" s="118"/>
      <c r="S194" s="118"/>
    </row>
    <row r="195" spans="1:19" ht="13.5" customHeight="1">
      <c r="A195" s="155" t="s">
        <v>92</v>
      </c>
      <c r="B195" s="155" t="s">
        <v>139</v>
      </c>
      <c r="C195" s="19" t="s">
        <v>281</v>
      </c>
      <c r="D195" s="157" t="s">
        <v>270</v>
      </c>
      <c r="E195" s="155" t="s">
        <v>46</v>
      </c>
      <c r="F195" s="20">
        <v>45867</v>
      </c>
      <c r="G195" s="21">
        <f t="shared" si="22"/>
        <v>31</v>
      </c>
      <c r="H195" s="21" t="s">
        <v>20</v>
      </c>
      <c r="I195" s="79" t="str">
        <f t="shared" si="20"/>
        <v>7-2025</v>
      </c>
      <c r="J195" s="86" t="str">
        <f>(YEAR(F195)&amp;TEXT(Table1[[#This Row],[Week]],"00"))</f>
        <v>202531</v>
      </c>
      <c r="K195" s="79" t="str">
        <f>_xlfn.TEXTJOIN("-",TRUE,Table1[[#This Row],[Client]],Table1[[#This Row],[Budget ID]],Table1[[#This Row],[Ressource
'[Initials']]])</f>
        <v>Novo Nordisk-240017-5-DS</v>
      </c>
      <c r="L195" s="19" t="s">
        <v>326</v>
      </c>
      <c r="M195" s="22"/>
      <c r="N195" s="22"/>
      <c r="O195" s="23">
        <v>5.5</v>
      </c>
      <c r="P195" s="117" cm="1">
        <f t="array" ref="P195">_xlfn.XLOOKUP(Table1[[#This Row],[UID
'[Helper']]],Table2[[#All],[UID
'[Helper']]],Table2[[#All],[Rate
DKK]],"Not found :(",0,1)</f>
        <v>900</v>
      </c>
      <c r="Q195" s="117">
        <f t="shared" si="21"/>
        <v>4950</v>
      </c>
      <c r="R195" s="118"/>
      <c r="S195" s="118"/>
    </row>
    <row r="196" spans="1:19" ht="13.5">
      <c r="A196" s="155" t="s">
        <v>92</v>
      </c>
      <c r="B196" s="155" t="s">
        <v>275</v>
      </c>
      <c r="C196" s="156" t="s">
        <v>276</v>
      </c>
      <c r="D196" s="157">
        <v>250501</v>
      </c>
      <c r="E196" s="155" t="s">
        <v>46</v>
      </c>
      <c r="F196" s="20">
        <v>45867</v>
      </c>
      <c r="G196" s="21">
        <f t="shared" si="22"/>
        <v>31</v>
      </c>
      <c r="H196" s="21" t="s">
        <v>20</v>
      </c>
      <c r="I196" s="79" t="str">
        <f t="shared" si="20"/>
        <v>7-2025</v>
      </c>
      <c r="J196" s="86" t="str">
        <f>(YEAR(F196)&amp;TEXT(Table1[[#This Row],[Week]],"00"))</f>
        <v>202531</v>
      </c>
      <c r="K196" s="79" t="str">
        <f>_xlfn.TEXTJOIN("-",TRUE,Table1[[#This Row],[Client]],Table1[[#This Row],[Budget ID]],Table1[[#This Row],[Ressource
'[Initials']]])</f>
        <v>Novo Nordisk-250501-DS</v>
      </c>
      <c r="L196" s="156" t="s">
        <v>320</v>
      </c>
      <c r="M196" s="22"/>
      <c r="N196" s="22"/>
      <c r="O196" s="23">
        <v>1.5</v>
      </c>
      <c r="P196" s="117" cm="1">
        <f t="array" ref="P196">_xlfn.XLOOKUP(Table1[[#This Row],[UID
'[Helper']]],Table2[[#All],[UID
'[Helper']]],Table2[[#All],[Rate
DKK]],"Not found :(",0,1)</f>
        <v>900</v>
      </c>
      <c r="Q196" s="117">
        <f t="shared" si="21"/>
        <v>1350</v>
      </c>
      <c r="R196" s="118"/>
      <c r="S196" s="118"/>
    </row>
    <row r="197" spans="1:19" ht="13.5">
      <c r="A197" s="18" t="s">
        <v>92</v>
      </c>
      <c r="B197" s="18" t="s">
        <v>269</v>
      </c>
      <c r="C197" s="19" t="s">
        <v>361</v>
      </c>
      <c r="D197" s="71">
        <v>250402</v>
      </c>
      <c r="E197" s="18" t="s">
        <v>46</v>
      </c>
      <c r="F197" s="20">
        <v>45868</v>
      </c>
      <c r="G197" s="21">
        <f t="shared" si="22"/>
        <v>31</v>
      </c>
      <c r="H197" s="21" t="s">
        <v>22</v>
      </c>
      <c r="I197" s="79" t="str">
        <f t="shared" si="20"/>
        <v>7-2025</v>
      </c>
      <c r="J197" s="86" t="str">
        <f>(YEAR(F197)&amp;TEXT(Table1[[#This Row],[Week]],"00"))</f>
        <v>202531</v>
      </c>
      <c r="K197" s="79" t="str">
        <f>_xlfn.TEXTJOIN("-",TRUE,Table1[[#This Row],[Client]],Table1[[#This Row],[Budget ID]],Table1[[#This Row],[Ressource
'[Initials']]])</f>
        <v>Novo Nordisk-250402-MS</v>
      </c>
      <c r="L197" s="19" t="s">
        <v>332</v>
      </c>
      <c r="M197" s="22"/>
      <c r="N197" s="22"/>
      <c r="O197" s="23">
        <v>1</v>
      </c>
      <c r="P197" s="117" cm="1">
        <f t="array" ref="P197">_xlfn.XLOOKUP(Table1[[#This Row],[UID
'[Helper']]],Table2[[#All],[UID
'[Helper']]],Table2[[#All],[Rate
DKK]],"Not found :(",0,1)</f>
        <v>900</v>
      </c>
      <c r="Q197" s="117">
        <f t="shared" si="21"/>
        <v>900</v>
      </c>
      <c r="R197" s="118"/>
      <c r="S197" s="118"/>
    </row>
    <row r="198" spans="1:19" ht="13.5">
      <c r="A198" s="42" t="s">
        <v>14</v>
      </c>
      <c r="B198" s="43" t="s">
        <v>24</v>
      </c>
      <c r="C198" s="44" t="s">
        <v>268</v>
      </c>
      <c r="D198" s="49" t="s">
        <v>218</v>
      </c>
      <c r="E198" s="43" t="s">
        <v>79</v>
      </c>
      <c r="F198" s="20">
        <v>45868</v>
      </c>
      <c r="G198" s="21">
        <f t="shared" si="22"/>
        <v>31</v>
      </c>
      <c r="H198" s="21" t="s">
        <v>22</v>
      </c>
      <c r="I198" s="79" t="str">
        <f t="shared" si="20"/>
        <v>7-2025</v>
      </c>
      <c r="J198" s="86" t="str">
        <f>(YEAR(F198)&amp;TEXT(Table1[[#This Row],[Week]],"00"))</f>
        <v>202531</v>
      </c>
      <c r="K198" s="79" t="str">
        <f>_xlfn.TEXTJOIN("-",TRUE,Table1[[#This Row],[Client]],Table1[[#This Row],[Budget ID]],Table1[[#This Row],[Ressource
'[Initials']]])</f>
        <v>Labflex-230003-1-MS</v>
      </c>
      <c r="L198" s="19" t="s">
        <v>336</v>
      </c>
      <c r="M198" s="22"/>
      <c r="N198" s="22"/>
      <c r="O198" s="23">
        <v>1</v>
      </c>
      <c r="P198" s="117" cm="1">
        <f t="array" ref="P198">_xlfn.XLOOKUP(Table1[[#This Row],[UID
'[Helper']]],Table2[[#All],[UID
'[Helper']]],Table2[[#All],[Rate
DKK]],"Not found :(",0,1)</f>
        <v>900</v>
      </c>
      <c r="Q198" s="117">
        <f t="shared" si="21"/>
        <v>900</v>
      </c>
      <c r="R198" s="118"/>
      <c r="S198" s="118"/>
    </row>
    <row r="199" spans="1:19" ht="13.5">
      <c r="A199" s="18" t="s">
        <v>14</v>
      </c>
      <c r="B199" s="18" t="s">
        <v>24</v>
      </c>
      <c r="C199" s="19" t="s">
        <v>71</v>
      </c>
      <c r="D199" s="49" t="s">
        <v>218</v>
      </c>
      <c r="E199" s="18" t="s">
        <v>37</v>
      </c>
      <c r="F199" s="20">
        <v>45868</v>
      </c>
      <c r="G199" s="21">
        <f t="shared" si="22"/>
        <v>31</v>
      </c>
      <c r="H199" s="21" t="s">
        <v>22</v>
      </c>
      <c r="I199" s="79" t="str">
        <f t="shared" si="20"/>
        <v>7-2025</v>
      </c>
      <c r="J199" s="86" t="str">
        <f>(YEAR(F199)&amp;TEXT(Table1[[#This Row],[Week]],"00"))</f>
        <v>202531</v>
      </c>
      <c r="K199" s="79" t="str">
        <f>_xlfn.TEXTJOIN("-",TRUE,Table1[[#This Row],[Client]],Table1[[#This Row],[Budget ID]],Table1[[#This Row],[Ressource
'[Initials']]])</f>
        <v>Labflex-230003-1-MS</v>
      </c>
      <c r="L199" s="19" t="s">
        <v>337</v>
      </c>
      <c r="M199" s="22"/>
      <c r="N199" s="22"/>
      <c r="O199" s="23">
        <v>1</v>
      </c>
      <c r="P199" s="117" cm="1">
        <f t="array" ref="P199">_xlfn.XLOOKUP(Table1[[#This Row],[UID
'[Helper']]],Table2[[#All],[UID
'[Helper']]],Table2[[#All],[Rate
DKK]],"Not found :(",0,1)</f>
        <v>900</v>
      </c>
      <c r="Q199" s="117">
        <f t="shared" si="21"/>
        <v>900</v>
      </c>
      <c r="R199" s="118"/>
      <c r="S199" s="118"/>
    </row>
    <row r="200" spans="1:19" ht="13.5">
      <c r="A200" s="18" t="s">
        <v>14</v>
      </c>
      <c r="B200" s="18" t="s">
        <v>24</v>
      </c>
      <c r="C200" s="19" t="s">
        <v>273</v>
      </c>
      <c r="D200" s="49" t="s">
        <v>218</v>
      </c>
      <c r="E200" s="18" t="s">
        <v>79</v>
      </c>
      <c r="F200" s="20">
        <v>45868</v>
      </c>
      <c r="G200" s="21">
        <f t="shared" si="22"/>
        <v>31</v>
      </c>
      <c r="H200" s="21" t="s">
        <v>22</v>
      </c>
      <c r="I200" s="79" t="str">
        <f t="shared" si="20"/>
        <v>7-2025</v>
      </c>
      <c r="J200" s="86" t="str">
        <f>(YEAR(F200)&amp;TEXT(Table1[[#This Row],[Week]],"00"))</f>
        <v>202531</v>
      </c>
      <c r="K200" s="79" t="str">
        <f>_xlfn.TEXTJOIN("-",TRUE,Table1[[#This Row],[Client]],Table1[[#This Row],[Budget ID]],Table1[[#This Row],[Ressource
'[Initials']]])</f>
        <v>Labflex-230003-1-MS</v>
      </c>
      <c r="L200" s="19" t="s">
        <v>336</v>
      </c>
      <c r="M200" s="22"/>
      <c r="N200" s="22"/>
      <c r="O200" s="23">
        <v>0.5</v>
      </c>
      <c r="P200" s="117" cm="1">
        <f t="array" ref="P200">_xlfn.XLOOKUP(Table1[[#This Row],[UID
'[Helper']]],Table2[[#All],[UID
'[Helper']]],Table2[[#All],[Rate
DKK]],"Not found :(",0,1)</f>
        <v>900</v>
      </c>
      <c r="Q200" s="117">
        <f t="shared" si="21"/>
        <v>450</v>
      </c>
      <c r="R200" s="118"/>
      <c r="S200" s="118"/>
    </row>
    <row r="201" spans="1:19" ht="13.5">
      <c r="A201" s="18" t="s">
        <v>14</v>
      </c>
      <c r="B201" s="18" t="s">
        <v>24</v>
      </c>
      <c r="C201" s="19" t="s">
        <v>277</v>
      </c>
      <c r="D201" s="49" t="s">
        <v>218</v>
      </c>
      <c r="E201" s="18" t="s">
        <v>79</v>
      </c>
      <c r="F201" s="20">
        <v>45868</v>
      </c>
      <c r="G201" s="21">
        <f t="shared" si="22"/>
        <v>31</v>
      </c>
      <c r="H201" s="21" t="s">
        <v>22</v>
      </c>
      <c r="I201" s="79" t="str">
        <f t="shared" si="20"/>
        <v>7-2025</v>
      </c>
      <c r="J201" s="86" t="str">
        <f>(YEAR(F201)&amp;TEXT(Table1[[#This Row],[Week]],"00"))</f>
        <v>202531</v>
      </c>
      <c r="K201" s="79" t="str">
        <f>_xlfn.TEXTJOIN("-",TRUE,Table1[[#This Row],[Client]],Table1[[#This Row],[Budget ID]],Table1[[#This Row],[Ressource
'[Initials']]])</f>
        <v>Labflex-230003-1-MS</v>
      </c>
      <c r="L201" s="19" t="s">
        <v>336</v>
      </c>
      <c r="M201" s="22"/>
      <c r="N201" s="22"/>
      <c r="O201" s="23">
        <v>0.5</v>
      </c>
      <c r="P201" s="117" cm="1">
        <f t="array" ref="P201">_xlfn.XLOOKUP(Table1[[#This Row],[UID
'[Helper']]],Table2[[#All],[UID
'[Helper']]],Table2[[#All],[Rate
DKK]],"Not found :(",0,1)</f>
        <v>900</v>
      </c>
      <c r="Q201" s="117">
        <f t="shared" si="21"/>
        <v>450</v>
      </c>
      <c r="R201" s="118"/>
      <c r="S201" s="118"/>
    </row>
    <row r="202" spans="1:19" ht="13.5">
      <c r="A202" s="42" t="s">
        <v>259</v>
      </c>
      <c r="B202" s="43" t="s">
        <v>260</v>
      </c>
      <c r="C202" s="44"/>
      <c r="D202" s="49">
        <v>250401</v>
      </c>
      <c r="E202" s="43" t="s">
        <v>46</v>
      </c>
      <c r="F202" s="20">
        <v>45868</v>
      </c>
      <c r="G202" s="45">
        <f t="shared" si="22"/>
        <v>31</v>
      </c>
      <c r="H202" s="45" t="s">
        <v>22</v>
      </c>
      <c r="I202" s="79" t="str">
        <f t="shared" si="20"/>
        <v>7-2025</v>
      </c>
      <c r="J202" s="86" t="str">
        <f>(YEAR(F202)&amp;TEXT(Table1[[#This Row],[Week]],"00"))</f>
        <v>202531</v>
      </c>
      <c r="K202" s="79" t="str">
        <f>_xlfn.TEXTJOIN("-",TRUE,Table1[[#This Row],[Client]],Table1[[#This Row],[Budget ID]],Table1[[#This Row],[Ressource
'[Initials']]])</f>
        <v>DLF Seeds-250401-MS</v>
      </c>
      <c r="L202" s="19" t="s">
        <v>335</v>
      </c>
      <c r="M202" s="22"/>
      <c r="N202" s="22"/>
      <c r="O202" s="23">
        <v>1</v>
      </c>
      <c r="P202" s="117" cm="1">
        <f t="array" ref="P202">_xlfn.XLOOKUP(Table1[[#This Row],[UID
'[Helper']]],Table2[[#All],[UID
'[Helper']]],Table2[[#All],[Rate
DKK]],"Not found :(",0,1)</f>
        <v>900</v>
      </c>
      <c r="Q202" s="117">
        <f t="shared" si="21"/>
        <v>900</v>
      </c>
      <c r="R202" s="118"/>
      <c r="S202" s="118"/>
    </row>
    <row r="203" spans="1:19" ht="13.5">
      <c r="A203" s="18" t="s">
        <v>92</v>
      </c>
      <c r="B203" s="18" t="s">
        <v>275</v>
      </c>
      <c r="C203" s="19" t="s">
        <v>276</v>
      </c>
      <c r="D203" s="71">
        <v>250501</v>
      </c>
      <c r="E203" s="18" t="s">
        <v>46</v>
      </c>
      <c r="F203" s="20">
        <v>45868</v>
      </c>
      <c r="G203" s="21">
        <f t="shared" si="22"/>
        <v>31</v>
      </c>
      <c r="H203" s="45" t="s">
        <v>22</v>
      </c>
      <c r="I203" s="79" t="str">
        <f t="shared" si="20"/>
        <v>7-2025</v>
      </c>
      <c r="J203" s="86" t="str">
        <f>(YEAR(F203)&amp;TEXT(Table1[[#This Row],[Week]],"00"))</f>
        <v>202531</v>
      </c>
      <c r="K203" s="79" t="str">
        <f>_xlfn.TEXTJOIN("-",TRUE,Table1[[#This Row],[Client]],Table1[[#This Row],[Budget ID]],Table1[[#This Row],[Ressource
'[Initials']]])</f>
        <v>Novo Nordisk-250501-MS</v>
      </c>
      <c r="L203" s="19" t="s">
        <v>328</v>
      </c>
      <c r="M203" s="22"/>
      <c r="N203" s="22"/>
      <c r="O203" s="23">
        <v>2.5</v>
      </c>
      <c r="P203" s="117" cm="1">
        <f t="array" ref="P203">_xlfn.XLOOKUP(Table1[[#This Row],[UID
'[Helper']]],Table2[[#All],[UID
'[Helper']]],Table2[[#All],[Rate
DKK]],"Not found :(",0,1)</f>
        <v>900</v>
      </c>
      <c r="Q203" s="117">
        <f t="shared" si="21"/>
        <v>2250</v>
      </c>
      <c r="R203" s="118"/>
      <c r="S203" s="118"/>
    </row>
    <row r="204" spans="1:19" ht="13.5">
      <c r="A204" s="18" t="s">
        <v>14</v>
      </c>
      <c r="B204" s="18" t="s">
        <v>24</v>
      </c>
      <c r="C204" s="19" t="s">
        <v>71</v>
      </c>
      <c r="D204" s="49" t="s">
        <v>218</v>
      </c>
      <c r="E204" s="18" t="s">
        <v>73</v>
      </c>
      <c r="F204" s="20">
        <v>45868</v>
      </c>
      <c r="G204" s="21">
        <f t="shared" si="22"/>
        <v>31</v>
      </c>
      <c r="H204" s="21" t="s">
        <v>22</v>
      </c>
      <c r="I204" s="79" t="str">
        <f t="shared" si="20"/>
        <v>7-2025</v>
      </c>
      <c r="J204" s="86" t="str">
        <f>(YEAR(F204)&amp;TEXT(Table1[[#This Row],[Week]],"00"))</f>
        <v>202531</v>
      </c>
      <c r="K204" s="79" t="str">
        <f>_xlfn.TEXTJOIN("-",TRUE,Table1[[#This Row],[Client]],Table1[[#This Row],[Budget ID]],Table1[[#This Row],[Ressource
'[Initials']]])</f>
        <v>Labflex-230003-1-MS</v>
      </c>
      <c r="L204" s="19" t="s">
        <v>334</v>
      </c>
      <c r="M204" s="22"/>
      <c r="N204" s="22"/>
      <c r="O204" s="23">
        <v>0.5</v>
      </c>
      <c r="P204" s="117" cm="1">
        <f t="array" ref="P204">_xlfn.XLOOKUP(Table1[[#This Row],[UID
'[Helper']]],Table2[[#All],[UID
'[Helper']]],Table2[[#All],[Rate
DKK]],"Not found :(",0,1)</f>
        <v>900</v>
      </c>
      <c r="Q204" s="117">
        <f t="shared" si="21"/>
        <v>450</v>
      </c>
      <c r="R204" s="118"/>
      <c r="S204" s="118"/>
    </row>
    <row r="205" spans="1:19" ht="13.5">
      <c r="A205" s="18" t="s">
        <v>14</v>
      </c>
      <c r="B205" s="18" t="s">
        <v>24</v>
      </c>
      <c r="C205" s="19" t="s">
        <v>72</v>
      </c>
      <c r="D205" s="49" t="s">
        <v>218</v>
      </c>
      <c r="E205" s="18" t="s">
        <v>73</v>
      </c>
      <c r="F205" s="20">
        <v>45868</v>
      </c>
      <c r="G205" s="21">
        <f t="shared" si="22"/>
        <v>31</v>
      </c>
      <c r="H205" s="21" t="s">
        <v>22</v>
      </c>
      <c r="I205" s="79" t="str">
        <f t="shared" si="20"/>
        <v>7-2025</v>
      </c>
      <c r="J205" s="86" t="str">
        <f>(YEAR(F205)&amp;TEXT(Table1[[#This Row],[Week]],"00"))</f>
        <v>202531</v>
      </c>
      <c r="K205" s="79" t="str">
        <f>_xlfn.TEXTJOIN("-",TRUE,Table1[[#This Row],[Client]],Table1[[#This Row],[Budget ID]],Table1[[#This Row],[Ressource
'[Initials']]])</f>
        <v>Labflex-230003-1-MS</v>
      </c>
      <c r="L205" s="19" t="s">
        <v>334</v>
      </c>
      <c r="M205" s="22"/>
      <c r="N205" s="22"/>
      <c r="O205" s="23">
        <v>0.5</v>
      </c>
      <c r="P205" s="117" cm="1">
        <f t="array" ref="P205">_xlfn.XLOOKUP(Table1[[#This Row],[UID
'[Helper']]],Table2[[#All],[UID
'[Helper']]],Table2[[#All],[Rate
DKK]],"Not found :(",0,1)</f>
        <v>900</v>
      </c>
      <c r="Q205" s="117">
        <f t="shared" si="21"/>
        <v>450</v>
      </c>
      <c r="R205" s="118"/>
      <c r="S205" s="118"/>
    </row>
    <row r="206" spans="1:19" ht="27">
      <c r="A206" s="18" t="s">
        <v>92</v>
      </c>
      <c r="B206" s="18" t="s">
        <v>139</v>
      </c>
      <c r="C206" s="19" t="s">
        <v>281</v>
      </c>
      <c r="D206" s="49" t="s">
        <v>270</v>
      </c>
      <c r="E206" s="18" t="s">
        <v>46</v>
      </c>
      <c r="F206" s="20">
        <v>45868</v>
      </c>
      <c r="G206" s="21">
        <f t="shared" si="22"/>
        <v>31</v>
      </c>
      <c r="H206" s="21" t="s">
        <v>22</v>
      </c>
      <c r="I206" s="79" t="str">
        <f t="shared" si="20"/>
        <v>7-2025</v>
      </c>
      <c r="J206" s="86" t="str">
        <f>(YEAR(F206)&amp;TEXT(Table1[[#This Row],[Week]],"00"))</f>
        <v>202531</v>
      </c>
      <c r="K206" s="79" t="str">
        <f>_xlfn.TEXTJOIN("-",TRUE,Table1[[#This Row],[Client]],Table1[[#This Row],[Budget ID]],Table1[[#This Row],[Ressource
'[Initials']]])</f>
        <v>Novo Nordisk-240017-5-MS</v>
      </c>
      <c r="L206" s="19" t="s">
        <v>331</v>
      </c>
      <c r="M206" s="22"/>
      <c r="N206" s="22"/>
      <c r="O206" s="23">
        <v>4</v>
      </c>
      <c r="P206" s="117" cm="1">
        <f t="array" ref="P206">_xlfn.XLOOKUP(Table1[[#This Row],[UID
'[Helper']]],Table2[[#All],[UID
'[Helper']]],Table2[[#All],[Rate
DKK]],"Not found :(",0,1)</f>
        <v>900</v>
      </c>
      <c r="Q206" s="117">
        <f t="shared" si="21"/>
        <v>3600</v>
      </c>
      <c r="R206" s="118"/>
      <c r="S206" s="118" t="s">
        <v>330</v>
      </c>
    </row>
    <row r="207" spans="1:19" ht="13.5">
      <c r="A207" s="18" t="s">
        <v>92</v>
      </c>
      <c r="B207" s="18" t="s">
        <v>269</v>
      </c>
      <c r="C207" s="19" t="s">
        <v>361</v>
      </c>
      <c r="D207" s="49">
        <v>250402</v>
      </c>
      <c r="E207" s="18" t="s">
        <v>46</v>
      </c>
      <c r="F207" s="20">
        <v>45868</v>
      </c>
      <c r="G207" s="21">
        <f t="shared" si="22"/>
        <v>31</v>
      </c>
      <c r="H207" s="21" t="s">
        <v>20</v>
      </c>
      <c r="I207" s="79" t="str">
        <f t="shared" si="20"/>
        <v>7-2025</v>
      </c>
      <c r="J207" s="86" t="str">
        <f>(YEAR(F207)&amp;TEXT(Table1[[#This Row],[Week]],"00"))</f>
        <v>202531</v>
      </c>
      <c r="K207" s="79" t="str">
        <f>_xlfn.TEXTJOIN("-",TRUE,Table1[[#This Row],[Client]],Table1[[#This Row],[Budget ID]],Table1[[#This Row],[Ressource
'[Initials']]])</f>
        <v>Novo Nordisk-250402-DS</v>
      </c>
      <c r="L207" s="19" t="s">
        <v>327</v>
      </c>
      <c r="M207" s="22"/>
      <c r="N207" s="22"/>
      <c r="O207" s="23">
        <v>2.5</v>
      </c>
      <c r="P207" s="117" cm="1">
        <f t="array" ref="P207">_xlfn.XLOOKUP(Table1[[#This Row],[UID
'[Helper']]],Table2[[#All],[UID
'[Helper']]],Table2[[#All],[Rate
DKK]],"Not found :(",0,1)</f>
        <v>900</v>
      </c>
      <c r="Q207" s="117">
        <f t="shared" si="21"/>
        <v>2250</v>
      </c>
      <c r="R207" s="118"/>
      <c r="S207" s="118"/>
    </row>
    <row r="208" spans="1:19" ht="27">
      <c r="A208" s="18" t="s">
        <v>143</v>
      </c>
      <c r="B208" s="18" t="s">
        <v>144</v>
      </c>
      <c r="C208" s="19"/>
      <c r="D208" s="157">
        <v>240018</v>
      </c>
      <c r="E208" s="18" t="s">
        <v>79</v>
      </c>
      <c r="F208" s="20">
        <v>45868</v>
      </c>
      <c r="G208" s="21">
        <f t="shared" si="22"/>
        <v>31</v>
      </c>
      <c r="H208" s="21" t="s">
        <v>22</v>
      </c>
      <c r="I208" s="79" t="str">
        <f t="shared" si="20"/>
        <v>7-2025</v>
      </c>
      <c r="J208" s="86" t="str">
        <f>(YEAR(F208)&amp;TEXT(Table1[[#This Row],[Week]],"00"))</f>
        <v>202531</v>
      </c>
      <c r="K208" s="79" t="str">
        <f>_xlfn.TEXTJOIN("-",TRUE,Table1[[#This Row],[Client]],Table1[[#This Row],[Budget ID]],Table1[[#This Row],[Ressource
'[Initials']]])</f>
        <v>CCRM-240018-MS</v>
      </c>
      <c r="L208" s="19" t="s">
        <v>333</v>
      </c>
      <c r="M208" s="22"/>
      <c r="N208" s="22"/>
      <c r="O208" s="23">
        <v>2.5</v>
      </c>
      <c r="P208" s="117" cm="1">
        <f t="array" ref="P208">_xlfn.XLOOKUP(Table1[[#This Row],[UID
'[Helper']]],Table2[[#All],[UID
'[Helper']]],Table2[[#All],[Rate
DKK]],"Not found :(",0,1)</f>
        <v>900</v>
      </c>
      <c r="Q208" s="117">
        <f t="shared" si="21"/>
        <v>2250</v>
      </c>
      <c r="R208" s="118"/>
      <c r="S208" s="118"/>
    </row>
    <row r="209" spans="1:19" ht="27">
      <c r="A209" s="18" t="s">
        <v>92</v>
      </c>
      <c r="B209" s="18" t="s">
        <v>139</v>
      </c>
      <c r="C209" s="19" t="s">
        <v>281</v>
      </c>
      <c r="D209" s="49" t="s">
        <v>270</v>
      </c>
      <c r="E209" s="18" t="s">
        <v>46</v>
      </c>
      <c r="F209" s="20">
        <v>45868</v>
      </c>
      <c r="G209" s="21">
        <f t="shared" si="22"/>
        <v>31</v>
      </c>
      <c r="H209" s="21" t="s">
        <v>20</v>
      </c>
      <c r="I209" s="79" t="str">
        <f t="shared" si="20"/>
        <v>7-2025</v>
      </c>
      <c r="J209" s="86" t="str">
        <f>(YEAR(F209)&amp;TEXT(Table1[[#This Row],[Week]],"00"))</f>
        <v>202531</v>
      </c>
      <c r="K209" s="79" t="str">
        <f>_xlfn.TEXTJOIN("-",TRUE,Table1[[#This Row],[Client]],Table1[[#This Row],[Budget ID]],Table1[[#This Row],[Ressource
'[Initials']]])</f>
        <v>Novo Nordisk-240017-5-DS</v>
      </c>
      <c r="L209" s="19" t="s">
        <v>329</v>
      </c>
      <c r="M209" s="22"/>
      <c r="N209" s="22"/>
      <c r="O209" s="23">
        <f>4.5+3</f>
        <v>7.5</v>
      </c>
      <c r="P209" s="117" cm="1">
        <f t="array" ref="P209">_xlfn.XLOOKUP(Table1[[#This Row],[UID
'[Helper']]],Table2[[#All],[UID
'[Helper']]],Table2[[#All],[Rate
DKK]],"Not found :(",0,1)</f>
        <v>900</v>
      </c>
      <c r="Q209" s="117">
        <f t="shared" si="21"/>
        <v>6750</v>
      </c>
      <c r="R209" s="118"/>
      <c r="S209" s="118" t="s">
        <v>330</v>
      </c>
    </row>
    <row r="210" spans="1:19" ht="13.5">
      <c r="A210" s="18" t="s">
        <v>92</v>
      </c>
      <c r="B210" s="18" t="s">
        <v>275</v>
      </c>
      <c r="C210" s="19" t="s">
        <v>276</v>
      </c>
      <c r="D210" s="71">
        <v>250501</v>
      </c>
      <c r="E210" s="18" t="s">
        <v>46</v>
      </c>
      <c r="F210" s="20">
        <v>45868</v>
      </c>
      <c r="G210" s="21">
        <f t="shared" si="22"/>
        <v>31</v>
      </c>
      <c r="H210" s="21" t="s">
        <v>20</v>
      </c>
      <c r="I210" s="79" t="str">
        <f t="shared" si="20"/>
        <v>7-2025</v>
      </c>
      <c r="J210" s="86" t="str">
        <f>(YEAR(F210)&amp;TEXT(Table1[[#This Row],[Week]],"00"))</f>
        <v>202531</v>
      </c>
      <c r="K210" s="79" t="str">
        <f>_xlfn.TEXTJOIN("-",TRUE,Table1[[#This Row],[Client]],Table1[[#This Row],[Budget ID]],Table1[[#This Row],[Ressource
'[Initials']]])</f>
        <v>Novo Nordisk-250501-DS</v>
      </c>
      <c r="L210" s="19" t="s">
        <v>328</v>
      </c>
      <c r="M210" s="22"/>
      <c r="N210" s="22"/>
      <c r="O210" s="23">
        <v>2.5</v>
      </c>
      <c r="P210" s="117" cm="1">
        <f t="array" ref="P210">_xlfn.XLOOKUP(Table1[[#This Row],[UID
'[Helper']]],Table2[[#All],[UID
'[Helper']]],Table2[[#All],[Rate
DKK]],"Not found :(",0,1)</f>
        <v>900</v>
      </c>
      <c r="Q210" s="117">
        <f t="shared" si="21"/>
        <v>2250</v>
      </c>
      <c r="R210" s="118"/>
      <c r="S210" s="118"/>
    </row>
    <row r="211" spans="1:19" ht="14.1" customHeight="1">
      <c r="A211" s="18" t="s">
        <v>143</v>
      </c>
      <c r="B211" s="18" t="s">
        <v>144</v>
      </c>
      <c r="C211" s="19"/>
      <c r="D211" s="157">
        <v>240018</v>
      </c>
      <c r="E211" s="18" t="s">
        <v>79</v>
      </c>
      <c r="F211" s="20">
        <v>45868</v>
      </c>
      <c r="G211" s="21">
        <f t="shared" si="22"/>
        <v>31</v>
      </c>
      <c r="H211" s="21" t="s">
        <v>20</v>
      </c>
      <c r="I211" s="79" t="str">
        <f t="shared" ref="I211:I238" si="23">(MONTH(F211)&amp;"-"&amp;YEAR(F211))</f>
        <v>7-2025</v>
      </c>
      <c r="J211" s="86" t="str">
        <f>(YEAR(F211)&amp;TEXT(Table1[[#This Row],[Week]],"00"))</f>
        <v>202531</v>
      </c>
      <c r="K211" s="79" t="str">
        <f>_xlfn.TEXTJOIN("-",TRUE,Table1[[#This Row],[Client]],Table1[[#This Row],[Budget ID]],Table1[[#This Row],[Ressource
'[Initials']]])</f>
        <v>CCRM-240018-DS</v>
      </c>
      <c r="L211" s="19" t="s">
        <v>347</v>
      </c>
      <c r="M211" s="22"/>
      <c r="N211" s="22"/>
      <c r="O211" s="23">
        <v>1.5</v>
      </c>
      <c r="P211" s="117" cm="1">
        <f t="array" ref="P211">_xlfn.XLOOKUP(Table1[[#This Row],[UID
'[Helper']]],Table2[[#All],[UID
'[Helper']]],Table2[[#All],[Rate
DKK]],"Not found :(",0,1)</f>
        <v>900</v>
      </c>
      <c r="Q211" s="117">
        <f t="shared" ref="Q211:Q238" si="24">IFERROR(O211*P211,0)</f>
        <v>1350</v>
      </c>
      <c r="R211" s="118"/>
      <c r="S211" s="118"/>
    </row>
    <row r="212" spans="1:19" ht="13.5">
      <c r="A212" s="18" t="s">
        <v>14</v>
      </c>
      <c r="B212" s="18" t="s">
        <v>24</v>
      </c>
      <c r="C212" s="19" t="s">
        <v>71</v>
      </c>
      <c r="D212" s="49" t="s">
        <v>218</v>
      </c>
      <c r="E212" s="18" t="s">
        <v>37</v>
      </c>
      <c r="F212" s="20">
        <v>45868</v>
      </c>
      <c r="G212" s="21">
        <f t="shared" si="22"/>
        <v>31</v>
      </c>
      <c r="H212" s="21" t="s">
        <v>22</v>
      </c>
      <c r="I212" s="79" t="str">
        <f t="shared" si="23"/>
        <v>7-2025</v>
      </c>
      <c r="J212" s="86" t="str">
        <f>(YEAR(F212)&amp;TEXT(Table1[[#This Row],[Week]],"00"))</f>
        <v>202531</v>
      </c>
      <c r="K212" s="79" t="str">
        <f>_xlfn.TEXTJOIN("-",TRUE,Table1[[#This Row],[Client]],Table1[[#This Row],[Budget ID]],Table1[[#This Row],[Ressource
'[Initials']]])</f>
        <v>Labflex-230003-1-MS</v>
      </c>
      <c r="L212" s="19" t="s">
        <v>350</v>
      </c>
      <c r="M212" s="22"/>
      <c r="N212" s="22"/>
      <c r="O212" s="23">
        <v>1</v>
      </c>
      <c r="P212" s="117" cm="1">
        <f t="array" ref="P212">_xlfn.XLOOKUP(Table1[[#This Row],[UID
'[Helper']]],Table2[[#All],[UID
'[Helper']]],Table2[[#All],[Rate
DKK]],"Not found :(",0,1)</f>
        <v>900</v>
      </c>
      <c r="Q212" s="117">
        <f t="shared" si="24"/>
        <v>900</v>
      </c>
      <c r="R212" s="118"/>
      <c r="S212" s="118"/>
    </row>
    <row r="213" spans="1:19" ht="27">
      <c r="A213" s="18" t="s">
        <v>92</v>
      </c>
      <c r="B213" s="18" t="s">
        <v>139</v>
      </c>
      <c r="C213" s="19" t="s">
        <v>281</v>
      </c>
      <c r="D213" s="49" t="s">
        <v>270</v>
      </c>
      <c r="E213" s="18" t="s">
        <v>46</v>
      </c>
      <c r="F213" s="20">
        <v>45869</v>
      </c>
      <c r="G213" s="21">
        <f t="shared" si="22"/>
        <v>31</v>
      </c>
      <c r="H213" s="21" t="s">
        <v>20</v>
      </c>
      <c r="I213" s="79" t="str">
        <f t="shared" si="23"/>
        <v>7-2025</v>
      </c>
      <c r="J213" s="86" t="str">
        <f>(YEAR(F213)&amp;TEXT(Table1[[#This Row],[Week]],"00"))</f>
        <v>202531</v>
      </c>
      <c r="K213" s="79" t="str">
        <f>_xlfn.TEXTJOIN("-",TRUE,Table1[[#This Row],[Client]],Table1[[#This Row],[Budget ID]],Table1[[#This Row],[Ressource
'[Initials']]])</f>
        <v>Novo Nordisk-240017-5-DS</v>
      </c>
      <c r="L213" s="19" t="s">
        <v>345</v>
      </c>
      <c r="M213" s="22"/>
      <c r="N213" s="22"/>
      <c r="O213" s="23">
        <f>4.5+4</f>
        <v>8.5</v>
      </c>
      <c r="P213" s="117" cm="1">
        <f t="array" ref="P213">_xlfn.XLOOKUP(Table1[[#This Row],[UID
'[Helper']]],Table2[[#All],[UID
'[Helper']]],Table2[[#All],[Rate
DKK]],"Not found :(",0,1)</f>
        <v>900</v>
      </c>
      <c r="Q213" s="117">
        <f t="shared" si="24"/>
        <v>7650</v>
      </c>
      <c r="R213" s="118"/>
      <c r="S213" s="118" t="s">
        <v>330</v>
      </c>
    </row>
    <row r="214" spans="1:19" ht="13.5">
      <c r="A214" s="18" t="s">
        <v>92</v>
      </c>
      <c r="B214" s="18" t="s">
        <v>139</v>
      </c>
      <c r="C214" s="19" t="s">
        <v>281</v>
      </c>
      <c r="D214" s="49" t="s">
        <v>270</v>
      </c>
      <c r="E214" s="18" t="s">
        <v>46</v>
      </c>
      <c r="F214" s="20">
        <v>45869</v>
      </c>
      <c r="G214" s="21">
        <f t="shared" si="22"/>
        <v>31</v>
      </c>
      <c r="H214" s="21" t="s">
        <v>22</v>
      </c>
      <c r="I214" s="79" t="str">
        <f t="shared" si="23"/>
        <v>7-2025</v>
      </c>
      <c r="J214" s="86" t="str">
        <f>(YEAR(F214)&amp;TEXT(Table1[[#This Row],[Week]],"00"))</f>
        <v>202531</v>
      </c>
      <c r="K214" s="79" t="str">
        <f>_xlfn.TEXTJOIN("-",TRUE,Table1[[#This Row],[Client]],Table1[[#This Row],[Budget ID]],Table1[[#This Row],[Ressource
'[Initials']]])</f>
        <v>Novo Nordisk-240017-5-MS</v>
      </c>
      <c r="L214" s="19" t="s">
        <v>338</v>
      </c>
      <c r="M214" s="22"/>
      <c r="N214" s="22"/>
      <c r="O214" s="23">
        <v>3.5</v>
      </c>
      <c r="P214" s="117" cm="1">
        <f t="array" ref="P214">_xlfn.XLOOKUP(Table1[[#This Row],[UID
'[Helper']]],Table2[[#All],[UID
'[Helper']]],Table2[[#All],[Rate
DKK]],"Not found :(",0,1)</f>
        <v>900</v>
      </c>
      <c r="Q214" s="117">
        <f t="shared" si="24"/>
        <v>3150</v>
      </c>
      <c r="R214" s="118"/>
      <c r="S214" s="118" t="s">
        <v>330</v>
      </c>
    </row>
    <row r="215" spans="1:19" ht="27">
      <c r="A215" s="18" t="s">
        <v>143</v>
      </c>
      <c r="B215" s="18" t="s">
        <v>144</v>
      </c>
      <c r="C215" s="19"/>
      <c r="D215" s="49">
        <v>240018</v>
      </c>
      <c r="E215" s="18" t="s">
        <v>79</v>
      </c>
      <c r="F215" s="20">
        <v>45869</v>
      </c>
      <c r="G215" s="21">
        <f t="shared" si="22"/>
        <v>31</v>
      </c>
      <c r="H215" s="21" t="s">
        <v>22</v>
      </c>
      <c r="I215" s="79" t="str">
        <f t="shared" si="23"/>
        <v>7-2025</v>
      </c>
      <c r="J215" s="86" t="str">
        <f>(YEAR(F215)&amp;TEXT(Table1[[#This Row],[Week]],"00"))</f>
        <v>202531</v>
      </c>
      <c r="K215" s="79" t="str">
        <f>_xlfn.TEXTJOIN("-",TRUE,Table1[[#This Row],[Client]],Table1[[#This Row],[Budget ID]],Table1[[#This Row],[Ressource
'[Initials']]])</f>
        <v>CCRM-240018-MS</v>
      </c>
      <c r="L215" s="19" t="s">
        <v>339</v>
      </c>
      <c r="M215" s="22"/>
      <c r="N215" s="22"/>
      <c r="O215" s="23">
        <v>2</v>
      </c>
      <c r="P215" s="117" cm="1">
        <f t="array" ref="P215">_xlfn.XLOOKUP(Table1[[#This Row],[UID
'[Helper']]],Table2[[#All],[UID
'[Helper']]],Table2[[#All],[Rate
DKK]],"Not found :(",0,1)</f>
        <v>900</v>
      </c>
      <c r="Q215" s="117">
        <f t="shared" si="24"/>
        <v>1800</v>
      </c>
      <c r="R215" s="118"/>
      <c r="S215" s="118"/>
    </row>
    <row r="216" spans="1:19" ht="13.5">
      <c r="A216" s="42" t="s">
        <v>14</v>
      </c>
      <c r="B216" s="43" t="s">
        <v>24</v>
      </c>
      <c r="C216" s="44" t="s">
        <v>268</v>
      </c>
      <c r="D216" s="49" t="s">
        <v>218</v>
      </c>
      <c r="E216" s="43" t="s">
        <v>79</v>
      </c>
      <c r="F216" s="20">
        <v>45869</v>
      </c>
      <c r="G216" s="21">
        <f t="shared" si="22"/>
        <v>31</v>
      </c>
      <c r="H216" s="21" t="s">
        <v>22</v>
      </c>
      <c r="I216" s="79" t="str">
        <f t="shared" si="23"/>
        <v>7-2025</v>
      </c>
      <c r="J216" s="86" t="str">
        <f>(YEAR(F216)&amp;TEXT(Table1[[#This Row],[Week]],"00"))</f>
        <v>202531</v>
      </c>
      <c r="K216" s="79" t="str">
        <f>_xlfn.TEXTJOIN("-",TRUE,Table1[[#This Row],[Client]],Table1[[#This Row],[Budget ID]],Table1[[#This Row],[Ressource
'[Initials']]])</f>
        <v>Labflex-230003-1-MS</v>
      </c>
      <c r="L216" s="19" t="s">
        <v>340</v>
      </c>
      <c r="M216" s="23">
        <v>1.5</v>
      </c>
      <c r="N216" s="22"/>
      <c r="O216" s="23">
        <v>1.5</v>
      </c>
      <c r="P216" s="117" cm="1">
        <f t="array" ref="P216">_xlfn.XLOOKUP(Table1[[#This Row],[UID
'[Helper']]],Table2[[#All],[UID
'[Helper']]],Table2[[#All],[Rate
DKK]],"Not found :(",0,1)</f>
        <v>900</v>
      </c>
      <c r="Q216" s="117">
        <f t="shared" si="24"/>
        <v>1350</v>
      </c>
      <c r="R216" s="118"/>
      <c r="S216" s="118"/>
    </row>
    <row r="217" spans="1:19" ht="13.5">
      <c r="A217" s="18" t="s">
        <v>14</v>
      </c>
      <c r="B217" s="18" t="s">
        <v>24</v>
      </c>
      <c r="C217" s="19" t="s">
        <v>71</v>
      </c>
      <c r="D217" s="49" t="s">
        <v>218</v>
      </c>
      <c r="E217" s="18" t="s">
        <v>37</v>
      </c>
      <c r="F217" s="20">
        <v>45869</v>
      </c>
      <c r="G217" s="21">
        <f t="shared" si="22"/>
        <v>31</v>
      </c>
      <c r="H217" s="21" t="s">
        <v>22</v>
      </c>
      <c r="I217" s="79" t="str">
        <f t="shared" si="23"/>
        <v>7-2025</v>
      </c>
      <c r="J217" s="86" t="str">
        <f>(YEAR(F217)&amp;TEXT(Table1[[#This Row],[Week]],"00"))</f>
        <v>202531</v>
      </c>
      <c r="K217" s="79" t="str">
        <f>_xlfn.TEXTJOIN("-",TRUE,Table1[[#This Row],[Client]],Table1[[#This Row],[Budget ID]],Table1[[#This Row],[Ressource
'[Initials']]])</f>
        <v>Labflex-230003-1-MS</v>
      </c>
      <c r="L217" s="19" t="s">
        <v>346</v>
      </c>
      <c r="M217" s="22"/>
      <c r="N217" s="22"/>
      <c r="O217" s="23">
        <v>0.5</v>
      </c>
      <c r="P217" s="117" cm="1">
        <f t="array" ref="P217">_xlfn.XLOOKUP(Table1[[#This Row],[UID
'[Helper']]],Table2[[#All],[UID
'[Helper']]],Table2[[#All],[Rate
DKK]],"Not found :(",0,1)</f>
        <v>900</v>
      </c>
      <c r="Q217" s="117">
        <f t="shared" si="24"/>
        <v>450</v>
      </c>
      <c r="R217" s="118"/>
      <c r="S217" s="118"/>
    </row>
    <row r="218" spans="1:19" ht="13.5">
      <c r="A218" s="18" t="s">
        <v>14</v>
      </c>
      <c r="B218" s="18" t="s">
        <v>24</v>
      </c>
      <c r="C218" s="19" t="s">
        <v>273</v>
      </c>
      <c r="D218" s="49" t="s">
        <v>218</v>
      </c>
      <c r="E218" s="18" t="s">
        <v>79</v>
      </c>
      <c r="F218" s="20">
        <v>45869</v>
      </c>
      <c r="G218" s="21">
        <f t="shared" si="22"/>
        <v>31</v>
      </c>
      <c r="H218" s="21" t="s">
        <v>22</v>
      </c>
      <c r="I218" s="79" t="str">
        <f t="shared" si="23"/>
        <v>7-2025</v>
      </c>
      <c r="J218" s="86" t="str">
        <f>(YEAR(F218)&amp;TEXT(Table1[[#This Row],[Week]],"00"))</f>
        <v>202531</v>
      </c>
      <c r="K218" s="79" t="str">
        <f>_xlfn.TEXTJOIN("-",TRUE,Table1[[#This Row],[Client]],Table1[[#This Row],[Budget ID]],Table1[[#This Row],[Ressource
'[Initials']]])</f>
        <v>Labflex-230003-1-MS</v>
      </c>
      <c r="L218" s="19" t="s">
        <v>341</v>
      </c>
      <c r="M218" s="22"/>
      <c r="N218" s="22"/>
      <c r="O218" s="23">
        <v>0.5</v>
      </c>
      <c r="P218" s="117" cm="1">
        <f t="array" ref="P218">_xlfn.XLOOKUP(Table1[[#This Row],[UID
'[Helper']]],Table2[[#All],[UID
'[Helper']]],Table2[[#All],[Rate
DKK]],"Not found :(",0,1)</f>
        <v>900</v>
      </c>
      <c r="Q218" s="117">
        <f t="shared" si="24"/>
        <v>450</v>
      </c>
      <c r="R218" s="118"/>
      <c r="S218" s="118"/>
    </row>
    <row r="219" spans="1:19" ht="13.5">
      <c r="A219" s="18" t="s">
        <v>14</v>
      </c>
      <c r="B219" s="18" t="s">
        <v>24</v>
      </c>
      <c r="C219" s="19" t="s">
        <v>277</v>
      </c>
      <c r="D219" s="49" t="s">
        <v>218</v>
      </c>
      <c r="E219" s="18" t="s">
        <v>79</v>
      </c>
      <c r="F219" s="20">
        <v>45869</v>
      </c>
      <c r="G219" s="21">
        <f t="shared" si="22"/>
        <v>31</v>
      </c>
      <c r="H219" s="21" t="s">
        <v>22</v>
      </c>
      <c r="I219" s="79" t="str">
        <f t="shared" si="23"/>
        <v>7-2025</v>
      </c>
      <c r="J219" s="86" t="str">
        <f>(YEAR(F219)&amp;TEXT(Table1[[#This Row],[Week]],"00"))</f>
        <v>202531</v>
      </c>
      <c r="K219" s="79" t="str">
        <f>_xlfn.TEXTJOIN("-",TRUE,Table1[[#This Row],[Client]],Table1[[#This Row],[Budget ID]],Table1[[#This Row],[Ressource
'[Initials']]])</f>
        <v>Labflex-230003-1-MS</v>
      </c>
      <c r="L219" s="19" t="s">
        <v>341</v>
      </c>
      <c r="M219" s="22"/>
      <c r="N219" s="22"/>
      <c r="O219" s="23">
        <v>0.5</v>
      </c>
      <c r="P219" s="117" cm="1">
        <f t="array" ref="P219">_xlfn.XLOOKUP(Table1[[#This Row],[UID
'[Helper']]],Table2[[#All],[UID
'[Helper']]],Table2[[#All],[Rate
DKK]],"Not found :(",0,1)</f>
        <v>900</v>
      </c>
      <c r="Q219" s="117">
        <f t="shared" si="24"/>
        <v>450</v>
      </c>
      <c r="R219" s="118"/>
      <c r="S219" s="118"/>
    </row>
    <row r="220" spans="1:19" ht="13.5">
      <c r="A220" s="42" t="s">
        <v>259</v>
      </c>
      <c r="B220" s="43" t="s">
        <v>260</v>
      </c>
      <c r="C220" s="44"/>
      <c r="D220" s="49">
        <v>250401</v>
      </c>
      <c r="E220" s="43" t="s">
        <v>46</v>
      </c>
      <c r="F220" s="20">
        <v>45869</v>
      </c>
      <c r="G220" s="45">
        <f t="shared" si="22"/>
        <v>31</v>
      </c>
      <c r="H220" s="45" t="s">
        <v>22</v>
      </c>
      <c r="I220" s="79" t="str">
        <f t="shared" si="23"/>
        <v>7-2025</v>
      </c>
      <c r="J220" s="86" t="str">
        <f>(YEAR(F220)&amp;TEXT(Table1[[#This Row],[Week]],"00"))</f>
        <v>202531</v>
      </c>
      <c r="K220" s="79" t="str">
        <f>_xlfn.TEXTJOIN("-",TRUE,Table1[[#This Row],[Client]],Table1[[#This Row],[Budget ID]],Table1[[#This Row],[Ressource
'[Initials']]])</f>
        <v>DLF Seeds-250401-MS</v>
      </c>
      <c r="L220" s="19" t="s">
        <v>344</v>
      </c>
      <c r="M220" s="22"/>
      <c r="N220" s="22"/>
      <c r="O220" s="23">
        <v>0.5</v>
      </c>
      <c r="P220" s="117" cm="1">
        <f t="array" ref="P220">_xlfn.XLOOKUP(Table1[[#This Row],[UID
'[Helper']]],Table2[[#All],[UID
'[Helper']]],Table2[[#All],[Rate
DKK]],"Not found :(",0,1)</f>
        <v>900</v>
      </c>
      <c r="Q220" s="117">
        <f t="shared" si="24"/>
        <v>450</v>
      </c>
      <c r="R220" s="118"/>
      <c r="S220" s="118"/>
    </row>
    <row r="221" spans="1:19" ht="13.5">
      <c r="A221" s="18" t="s">
        <v>92</v>
      </c>
      <c r="B221" s="18" t="s">
        <v>275</v>
      </c>
      <c r="C221" s="19" t="s">
        <v>276</v>
      </c>
      <c r="D221" s="71">
        <v>250501</v>
      </c>
      <c r="E221" s="18" t="s">
        <v>46</v>
      </c>
      <c r="F221" s="20">
        <v>45869</v>
      </c>
      <c r="G221" s="21">
        <f t="shared" si="22"/>
        <v>31</v>
      </c>
      <c r="H221" s="45" t="s">
        <v>22</v>
      </c>
      <c r="I221" s="79" t="str">
        <f t="shared" si="23"/>
        <v>7-2025</v>
      </c>
      <c r="J221" s="86" t="str">
        <f>(YEAR(F221)&amp;TEXT(Table1[[#This Row],[Week]],"00"))</f>
        <v>202531</v>
      </c>
      <c r="K221" s="79" t="str">
        <f>_xlfn.TEXTJOIN("-",TRUE,Table1[[#This Row],[Client]],Table1[[#This Row],[Budget ID]],Table1[[#This Row],[Ressource
'[Initials']]])</f>
        <v>Novo Nordisk-250501-MS</v>
      </c>
      <c r="L221" s="19" t="s">
        <v>343</v>
      </c>
      <c r="M221" s="22"/>
      <c r="N221" s="22"/>
      <c r="O221" s="23">
        <v>0.5</v>
      </c>
      <c r="P221" s="117" cm="1">
        <f t="array" ref="P221">_xlfn.XLOOKUP(Table1[[#This Row],[UID
'[Helper']]],Table2[[#All],[UID
'[Helper']]],Table2[[#All],[Rate
DKK]],"Not found :(",0,1)</f>
        <v>900</v>
      </c>
      <c r="Q221" s="117">
        <f t="shared" si="24"/>
        <v>450</v>
      </c>
      <c r="R221" s="118"/>
      <c r="S221" s="118"/>
    </row>
    <row r="222" spans="1:19" ht="13.5">
      <c r="A222" s="18" t="s">
        <v>14</v>
      </c>
      <c r="B222" s="18" t="s">
        <v>24</v>
      </c>
      <c r="C222" s="19" t="s">
        <v>71</v>
      </c>
      <c r="D222" s="49" t="s">
        <v>218</v>
      </c>
      <c r="E222" s="18" t="s">
        <v>73</v>
      </c>
      <c r="F222" s="20">
        <v>45869</v>
      </c>
      <c r="G222" s="21">
        <f t="shared" si="22"/>
        <v>31</v>
      </c>
      <c r="H222" s="21" t="s">
        <v>22</v>
      </c>
      <c r="I222" s="79" t="str">
        <f t="shared" si="23"/>
        <v>7-2025</v>
      </c>
      <c r="J222" s="86" t="str">
        <f>(YEAR(F222)&amp;TEXT(Table1[[#This Row],[Week]],"00"))</f>
        <v>202531</v>
      </c>
      <c r="K222" s="79" t="str">
        <f>_xlfn.TEXTJOIN("-",TRUE,Table1[[#This Row],[Client]],Table1[[#This Row],[Budget ID]],Table1[[#This Row],[Ressource
'[Initials']]])</f>
        <v>Labflex-230003-1-MS</v>
      </c>
      <c r="L222" s="19" t="s">
        <v>342</v>
      </c>
      <c r="M222" s="22"/>
      <c r="N222" s="22"/>
      <c r="O222" s="23">
        <v>0.5</v>
      </c>
      <c r="P222" s="117" cm="1">
        <f t="array" ref="P222">_xlfn.XLOOKUP(Table1[[#This Row],[UID
'[Helper']]],Table2[[#All],[UID
'[Helper']]],Table2[[#All],[Rate
DKK]],"Not found :(",0,1)</f>
        <v>900</v>
      </c>
      <c r="Q222" s="117">
        <f t="shared" si="24"/>
        <v>450</v>
      </c>
      <c r="R222" s="118"/>
      <c r="S222" s="118"/>
    </row>
    <row r="223" spans="1:19" ht="13.5">
      <c r="A223" s="18" t="s">
        <v>14</v>
      </c>
      <c r="B223" s="18" t="s">
        <v>24</v>
      </c>
      <c r="C223" s="19" t="s">
        <v>72</v>
      </c>
      <c r="D223" s="49" t="s">
        <v>218</v>
      </c>
      <c r="E223" s="18" t="s">
        <v>73</v>
      </c>
      <c r="F223" s="20">
        <v>45869</v>
      </c>
      <c r="G223" s="21">
        <f t="shared" si="22"/>
        <v>31</v>
      </c>
      <c r="H223" s="21" t="s">
        <v>22</v>
      </c>
      <c r="I223" s="79" t="str">
        <f t="shared" si="23"/>
        <v>7-2025</v>
      </c>
      <c r="J223" s="86" t="str">
        <f>(YEAR(F223)&amp;TEXT(Table1[[#This Row],[Week]],"00"))</f>
        <v>202531</v>
      </c>
      <c r="K223" s="79" t="str">
        <f>_xlfn.TEXTJOIN("-",TRUE,Table1[[#This Row],[Client]],Table1[[#This Row],[Budget ID]],Table1[[#This Row],[Ressource
'[Initials']]])</f>
        <v>Labflex-230003-1-MS</v>
      </c>
      <c r="L223" s="19" t="s">
        <v>342</v>
      </c>
      <c r="M223" s="22"/>
      <c r="N223" s="22"/>
      <c r="O223" s="23">
        <v>0.5</v>
      </c>
      <c r="P223" s="117" cm="1">
        <f t="array" ref="P223">_xlfn.XLOOKUP(Table1[[#This Row],[UID
'[Helper']]],Table2[[#All],[UID
'[Helper']]],Table2[[#All],[Rate
DKK]],"Not found :(",0,1)</f>
        <v>900</v>
      </c>
      <c r="Q223" s="117">
        <f t="shared" si="24"/>
        <v>450</v>
      </c>
      <c r="R223" s="118"/>
      <c r="S223" s="118"/>
    </row>
    <row r="224" spans="1:19" ht="13.5">
      <c r="A224" s="18" t="s">
        <v>14</v>
      </c>
      <c r="B224" s="18" t="s">
        <v>24</v>
      </c>
      <c r="C224" s="19" t="s">
        <v>273</v>
      </c>
      <c r="D224" s="49" t="s">
        <v>218</v>
      </c>
      <c r="E224" s="18" t="s">
        <v>79</v>
      </c>
      <c r="F224" s="20">
        <v>45869</v>
      </c>
      <c r="G224" s="21">
        <f t="shared" si="22"/>
        <v>31</v>
      </c>
      <c r="H224" s="21" t="s">
        <v>22</v>
      </c>
      <c r="I224" s="79" t="str">
        <f t="shared" si="23"/>
        <v>7-2025</v>
      </c>
      <c r="J224" s="86" t="str">
        <f>(YEAR(F224)&amp;TEXT(Table1[[#This Row],[Week]],"00"))</f>
        <v>202531</v>
      </c>
      <c r="K224" s="79" t="str">
        <f>_xlfn.TEXTJOIN("-",TRUE,Table1[[#This Row],[Client]],Table1[[#This Row],[Budget ID]],Table1[[#This Row],[Ressource
'[Initials']]])</f>
        <v>Labflex-230003-1-MS</v>
      </c>
      <c r="L224" s="19" t="s">
        <v>351</v>
      </c>
      <c r="M224" s="22"/>
      <c r="N224" s="22"/>
      <c r="O224" s="23">
        <v>1</v>
      </c>
      <c r="P224" s="117" cm="1">
        <f t="array" ref="P224">_xlfn.XLOOKUP(Table1[[#This Row],[UID
'[Helper']]],Table2[[#All],[UID
'[Helper']]],Table2[[#All],[Rate
DKK]],"Not found :(",0,1)</f>
        <v>900</v>
      </c>
      <c r="Q224" s="117">
        <f t="shared" si="24"/>
        <v>900</v>
      </c>
      <c r="R224" s="118"/>
      <c r="S224" s="118"/>
    </row>
    <row r="225" spans="1:19" ht="13.5" customHeight="1">
      <c r="A225" s="42" t="s">
        <v>14</v>
      </c>
      <c r="B225" s="43" t="s">
        <v>24</v>
      </c>
      <c r="C225" s="44" t="s">
        <v>268</v>
      </c>
      <c r="D225" s="49" t="s">
        <v>218</v>
      </c>
      <c r="E225" s="43" t="s">
        <v>79</v>
      </c>
      <c r="F225" s="20">
        <v>45869</v>
      </c>
      <c r="G225" s="21">
        <f t="shared" si="22"/>
        <v>31</v>
      </c>
      <c r="H225" s="21" t="s">
        <v>22</v>
      </c>
      <c r="I225" s="79" t="str">
        <f t="shared" si="23"/>
        <v>7-2025</v>
      </c>
      <c r="J225" s="86" t="str">
        <f>(YEAR(F225)&amp;TEXT(Table1[[#This Row],[Week]],"00"))</f>
        <v>202531</v>
      </c>
      <c r="K225" s="79" t="str">
        <f>_xlfn.TEXTJOIN("-",TRUE,Table1[[#This Row],[Client]],Table1[[#This Row],[Budget ID]],Table1[[#This Row],[Ressource
'[Initials']]])</f>
        <v>Labflex-230003-1-MS</v>
      </c>
      <c r="L225" s="19" t="s">
        <v>351</v>
      </c>
      <c r="M225" s="22"/>
      <c r="N225" s="22"/>
      <c r="O225" s="23">
        <v>0.5</v>
      </c>
      <c r="P225" s="117" cm="1">
        <f t="array" ref="P225">_xlfn.XLOOKUP(Table1[[#This Row],[UID
'[Helper']]],Table2[[#All],[UID
'[Helper']]],Table2[[#All],[Rate
DKK]],"Not found :(",0,1)</f>
        <v>900</v>
      </c>
      <c r="Q225" s="117">
        <f t="shared" si="24"/>
        <v>450</v>
      </c>
      <c r="R225" s="118"/>
      <c r="S225" s="118"/>
    </row>
    <row r="226" spans="1:19" ht="27">
      <c r="A226" s="18" t="s">
        <v>92</v>
      </c>
      <c r="B226" s="18" t="s">
        <v>139</v>
      </c>
      <c r="C226" s="19" t="s">
        <v>281</v>
      </c>
      <c r="D226" s="49" t="s">
        <v>270</v>
      </c>
      <c r="E226" s="18" t="s">
        <v>46</v>
      </c>
      <c r="F226" s="20">
        <v>45870</v>
      </c>
      <c r="G226" s="21">
        <f t="shared" si="22"/>
        <v>31</v>
      </c>
      <c r="H226" s="21" t="s">
        <v>20</v>
      </c>
      <c r="I226" s="79" t="str">
        <f t="shared" si="23"/>
        <v>8-2025</v>
      </c>
      <c r="J226" s="86" t="str">
        <f>(YEAR(F226)&amp;TEXT(Table1[[#This Row],[Week]],"00"))</f>
        <v>202531</v>
      </c>
      <c r="K226" s="79" t="str">
        <f>_xlfn.TEXTJOIN("-",TRUE,Table1[[#This Row],[Client]],Table1[[#This Row],[Budget ID]],Table1[[#This Row],[Ressource
'[Initials']]])</f>
        <v>Novo Nordisk-240017-5-DS</v>
      </c>
      <c r="L226" s="19" t="s">
        <v>364</v>
      </c>
      <c r="M226" s="22"/>
      <c r="N226" s="22"/>
      <c r="O226" s="23">
        <f>7.5+3</f>
        <v>10.5</v>
      </c>
      <c r="P226" s="117" cm="1">
        <f t="array" ref="P226">_xlfn.XLOOKUP(Table1[[#This Row],[UID
'[Helper']]],Table2[[#All],[UID
'[Helper']]],Table2[[#All],[Rate
DKK]],"Not found :(",0,1)</f>
        <v>900</v>
      </c>
      <c r="Q226" s="117">
        <f t="shared" si="24"/>
        <v>9450</v>
      </c>
      <c r="R226" s="118"/>
      <c r="S226" s="118" t="s">
        <v>330</v>
      </c>
    </row>
    <row r="227" spans="1:19" ht="13.5">
      <c r="A227" s="42" t="s">
        <v>92</v>
      </c>
      <c r="B227" s="43" t="s">
        <v>139</v>
      </c>
      <c r="C227" s="44" t="s">
        <v>281</v>
      </c>
      <c r="D227" s="49" t="s">
        <v>270</v>
      </c>
      <c r="E227" s="43" t="s">
        <v>46</v>
      </c>
      <c r="F227" s="20">
        <v>45870</v>
      </c>
      <c r="G227" s="21">
        <f t="shared" si="22"/>
        <v>31</v>
      </c>
      <c r="H227" s="21" t="s">
        <v>22</v>
      </c>
      <c r="I227" s="79" t="str">
        <f t="shared" si="23"/>
        <v>8-2025</v>
      </c>
      <c r="J227" s="86" t="str">
        <f>(YEAR(F227)&amp;TEXT(Table1[[#This Row],[Week]],"00"))</f>
        <v>202531</v>
      </c>
      <c r="K227" s="79" t="str">
        <f>_xlfn.TEXTJOIN("-",TRUE,Table1[[#This Row],[Client]],Table1[[#This Row],[Budget ID]],Table1[[#This Row],[Ressource
'[Initials']]])</f>
        <v>Novo Nordisk-240017-5-MS</v>
      </c>
      <c r="L227" s="19" t="s">
        <v>352</v>
      </c>
      <c r="M227" s="22"/>
      <c r="N227" s="22"/>
      <c r="O227" s="23">
        <v>5</v>
      </c>
      <c r="P227" s="117" cm="1">
        <f t="array" ref="P227">_xlfn.XLOOKUP(Table1[[#This Row],[UID
'[Helper']]],Table2[[#All],[UID
'[Helper']]],Table2[[#All],[Rate
DKK]],"Not found :(",0,1)</f>
        <v>900</v>
      </c>
      <c r="Q227" s="117">
        <f t="shared" si="24"/>
        <v>4500</v>
      </c>
      <c r="R227" s="118"/>
      <c r="S227" s="118"/>
    </row>
    <row r="228" spans="1:19" ht="13.5">
      <c r="A228" s="18" t="s">
        <v>143</v>
      </c>
      <c r="B228" s="18" t="s">
        <v>144</v>
      </c>
      <c r="C228" s="44"/>
      <c r="D228" s="49">
        <v>240018</v>
      </c>
      <c r="E228" s="18" t="s">
        <v>79</v>
      </c>
      <c r="F228" s="20">
        <v>45870</v>
      </c>
      <c r="G228" s="21">
        <f t="shared" si="22"/>
        <v>31</v>
      </c>
      <c r="H228" s="21" t="s">
        <v>22</v>
      </c>
      <c r="I228" s="79" t="str">
        <f t="shared" si="23"/>
        <v>8-2025</v>
      </c>
      <c r="J228" s="86" t="str">
        <f>(YEAR(F228)&amp;TEXT(Table1[[#This Row],[Week]],"00"))</f>
        <v>202531</v>
      </c>
      <c r="K228" s="79" t="str">
        <f>_xlfn.TEXTJOIN("-",TRUE,Table1[[#This Row],[Client]],Table1[[#This Row],[Budget ID]],Table1[[#This Row],[Ressource
'[Initials']]])</f>
        <v>CCRM-240018-MS</v>
      </c>
      <c r="L228" s="19" t="s">
        <v>349</v>
      </c>
      <c r="M228" s="22"/>
      <c r="N228" s="22"/>
      <c r="O228" s="23">
        <v>1.5</v>
      </c>
      <c r="P228" s="117" cm="1">
        <f t="array" ref="P228">_xlfn.XLOOKUP(Table1[[#This Row],[UID
'[Helper']]],Table2[[#All],[UID
'[Helper']]],Table2[[#All],[Rate
DKK]],"Not found :(",0,1)</f>
        <v>900</v>
      </c>
      <c r="Q228" s="117">
        <f t="shared" si="24"/>
        <v>1350</v>
      </c>
      <c r="R228" s="118"/>
      <c r="S228" s="118"/>
    </row>
    <row r="229" spans="1:19" ht="13.5">
      <c r="A229" s="159" t="s">
        <v>92</v>
      </c>
      <c r="B229" s="159" t="s">
        <v>139</v>
      </c>
      <c r="C229" s="160" t="s">
        <v>281</v>
      </c>
      <c r="D229" s="161" t="s">
        <v>270</v>
      </c>
      <c r="E229" s="159" t="s">
        <v>46</v>
      </c>
      <c r="F229" s="162">
        <v>45873</v>
      </c>
      <c r="G229" s="163">
        <f t="shared" si="22"/>
        <v>32</v>
      </c>
      <c r="H229" s="163" t="s">
        <v>54</v>
      </c>
      <c r="I229" s="79" t="str">
        <f t="shared" si="23"/>
        <v>8-2025</v>
      </c>
      <c r="J229" s="86" t="str">
        <f>(YEAR(F229)&amp;TEXT(Table1[[#This Row],[Week]],"00"))</f>
        <v>202532</v>
      </c>
      <c r="K229" s="79" t="str">
        <f>_xlfn.TEXTJOIN("-",TRUE,Table1[[#This Row],[Client]],Table1[[#This Row],[Budget ID]],Table1[[#This Row],[Ressource
'[Initials']]])</f>
        <v>Novo Nordisk-240017-5-ML</v>
      </c>
      <c r="L229" s="19" t="s">
        <v>355</v>
      </c>
      <c r="M229" s="22"/>
      <c r="N229" s="22"/>
      <c r="O229" s="23">
        <v>3</v>
      </c>
      <c r="P229" s="117" cm="1">
        <f t="array" ref="P229">_xlfn.XLOOKUP(Table1[[#This Row],[UID
'[Helper']]],Table2[[#All],[UID
'[Helper']]],Table2[[#All],[Rate
DKK]],"Not found :(",0,1)</f>
        <v>900</v>
      </c>
      <c r="Q229" s="117">
        <f t="shared" si="24"/>
        <v>2700</v>
      </c>
      <c r="R229" s="118"/>
      <c r="S229" s="118"/>
    </row>
    <row r="230" spans="1:19" ht="13.5">
      <c r="A230" s="42" t="s">
        <v>92</v>
      </c>
      <c r="B230" s="43" t="s">
        <v>139</v>
      </c>
      <c r="C230" s="44" t="s">
        <v>281</v>
      </c>
      <c r="D230" s="49" t="s">
        <v>270</v>
      </c>
      <c r="E230" s="43" t="s">
        <v>46</v>
      </c>
      <c r="F230" s="20">
        <v>45873</v>
      </c>
      <c r="G230" s="21">
        <f t="shared" si="22"/>
        <v>32</v>
      </c>
      <c r="H230" s="21" t="s">
        <v>20</v>
      </c>
      <c r="I230" s="79" t="str">
        <f t="shared" si="23"/>
        <v>8-2025</v>
      </c>
      <c r="J230" s="86" t="str">
        <f>(YEAR(F230)&amp;TEXT(Table1[[#This Row],[Week]],"00"))</f>
        <v>202532</v>
      </c>
      <c r="K230" s="79" t="str">
        <f>_xlfn.TEXTJOIN("-",TRUE,Table1[[#This Row],[Client]],Table1[[#This Row],[Budget ID]],Table1[[#This Row],[Ressource
'[Initials']]])</f>
        <v>Novo Nordisk-240017-5-DS</v>
      </c>
      <c r="L230" s="19" t="s">
        <v>362</v>
      </c>
      <c r="M230" s="22"/>
      <c r="N230" s="22"/>
      <c r="O230" s="23">
        <v>7.5</v>
      </c>
      <c r="P230" s="117" cm="1">
        <f t="array" ref="P230">_xlfn.XLOOKUP(Table1[[#This Row],[UID
'[Helper']]],Table2[[#All],[UID
'[Helper']]],Table2[[#All],[Rate
DKK]],"Not found :(",0,1)</f>
        <v>900</v>
      </c>
      <c r="Q230" s="117">
        <f t="shared" si="24"/>
        <v>6750</v>
      </c>
      <c r="R230" s="118"/>
      <c r="S230" s="118"/>
    </row>
    <row r="231" spans="1:19" ht="13.5">
      <c r="A231" s="42" t="s">
        <v>259</v>
      </c>
      <c r="B231" s="43" t="s">
        <v>260</v>
      </c>
      <c r="C231" s="44"/>
      <c r="D231" s="49">
        <v>250401</v>
      </c>
      <c r="E231" s="43" t="s">
        <v>46</v>
      </c>
      <c r="F231" s="162">
        <v>45873</v>
      </c>
      <c r="G231" s="45">
        <f t="shared" si="22"/>
        <v>32</v>
      </c>
      <c r="H231" s="45" t="s">
        <v>22</v>
      </c>
      <c r="I231" s="79" t="str">
        <f t="shared" si="23"/>
        <v>8-2025</v>
      </c>
      <c r="J231" s="86" t="str">
        <f>(YEAR(F231)&amp;TEXT(Table1[[#This Row],[Week]],"00"))</f>
        <v>202532</v>
      </c>
      <c r="K231" s="79" t="str">
        <f>_xlfn.TEXTJOIN("-",TRUE,Table1[[#This Row],[Client]],Table1[[#This Row],[Budget ID]],Table1[[#This Row],[Ressource
'[Initials']]])</f>
        <v>DLF Seeds-250401-MS</v>
      </c>
      <c r="L231" s="19" t="s">
        <v>356</v>
      </c>
      <c r="M231" s="22"/>
      <c r="N231" s="22"/>
      <c r="O231" s="23">
        <v>1.5</v>
      </c>
      <c r="P231" s="117" cm="1">
        <f t="array" ref="P231">_xlfn.XLOOKUP(Table1[[#This Row],[UID
'[Helper']]],Table2[[#All],[UID
'[Helper']]],Table2[[#All],[Rate
DKK]],"Not found :(",0,1)</f>
        <v>900</v>
      </c>
      <c r="Q231" s="117">
        <f t="shared" si="24"/>
        <v>1350</v>
      </c>
      <c r="R231" s="118"/>
      <c r="S231" s="118"/>
    </row>
    <row r="232" spans="1:19" ht="13.5">
      <c r="A232" s="18" t="s">
        <v>92</v>
      </c>
      <c r="B232" s="18" t="s">
        <v>139</v>
      </c>
      <c r="C232" s="19" t="s">
        <v>281</v>
      </c>
      <c r="D232" s="49" t="s">
        <v>270</v>
      </c>
      <c r="E232" s="18" t="s">
        <v>46</v>
      </c>
      <c r="F232" s="20">
        <v>45873</v>
      </c>
      <c r="G232" s="21">
        <f t="shared" si="22"/>
        <v>32</v>
      </c>
      <c r="H232" s="21" t="s">
        <v>22</v>
      </c>
      <c r="I232" s="79" t="str">
        <f t="shared" si="23"/>
        <v>8-2025</v>
      </c>
      <c r="J232" s="86" t="str">
        <f>(YEAR(F232)&amp;TEXT(Table1[[#This Row],[Week]],"00"))</f>
        <v>202532</v>
      </c>
      <c r="K232" s="79" t="str">
        <f>_xlfn.TEXTJOIN("-",TRUE,Table1[[#This Row],[Client]],Table1[[#This Row],[Budget ID]],Table1[[#This Row],[Ressource
'[Initials']]])</f>
        <v>Novo Nordisk-240017-5-MS</v>
      </c>
      <c r="L232" s="19" t="s">
        <v>357</v>
      </c>
      <c r="M232" s="22"/>
      <c r="N232" s="22"/>
      <c r="O232" s="23">
        <v>4.5</v>
      </c>
      <c r="P232" s="117" cm="1">
        <f t="array" ref="P232">_xlfn.XLOOKUP(Table1[[#This Row],[UID
'[Helper']]],Table2[[#All],[UID
'[Helper']]],Table2[[#All],[Rate
DKK]],"Not found :(",0,1)</f>
        <v>900</v>
      </c>
      <c r="Q232" s="117">
        <f t="shared" si="24"/>
        <v>4050</v>
      </c>
      <c r="R232" s="118"/>
      <c r="S232" s="118"/>
    </row>
    <row r="233" spans="1:19" ht="13.5">
      <c r="A233" s="159" t="s">
        <v>143</v>
      </c>
      <c r="B233" s="159" t="s">
        <v>144</v>
      </c>
      <c r="C233" s="160"/>
      <c r="D233" s="49">
        <v>240018</v>
      </c>
      <c r="E233" s="159" t="s">
        <v>79</v>
      </c>
      <c r="F233" s="162">
        <v>45873</v>
      </c>
      <c r="G233" s="163">
        <f t="shared" si="22"/>
        <v>32</v>
      </c>
      <c r="H233" s="163" t="s">
        <v>54</v>
      </c>
      <c r="I233" s="79" t="str">
        <f t="shared" si="23"/>
        <v>8-2025</v>
      </c>
      <c r="J233" s="86" t="str">
        <f>(YEAR(F233)&amp;TEXT(Table1[[#This Row],[Week]],"00"))</f>
        <v>202532</v>
      </c>
      <c r="K233" s="79" t="str">
        <f>_xlfn.TEXTJOIN("-",TRUE,Table1[[#This Row],[Client]],Table1[[#This Row],[Budget ID]],Table1[[#This Row],[Ressource
'[Initials']]])</f>
        <v>CCRM-240018-ML</v>
      </c>
      <c r="L233" s="19" t="s">
        <v>354</v>
      </c>
      <c r="M233" s="22"/>
      <c r="N233" s="22"/>
      <c r="O233" s="23">
        <v>1</v>
      </c>
      <c r="P233" s="117" cm="1">
        <f t="array" ref="P233">_xlfn.XLOOKUP(Table1[[#This Row],[UID
'[Helper']]],Table2[[#All],[UID
'[Helper']]],Table2[[#All],[Rate
DKK]],"Not found :(",0,1)</f>
        <v>900</v>
      </c>
      <c r="Q233" s="117">
        <f t="shared" si="24"/>
        <v>900</v>
      </c>
      <c r="R233" s="118"/>
      <c r="S233" s="118"/>
    </row>
    <row r="234" spans="1:19" ht="13.5">
      <c r="A234" s="159" t="s">
        <v>107</v>
      </c>
      <c r="B234" s="159" t="s">
        <v>154</v>
      </c>
      <c r="C234" s="160"/>
      <c r="D234" s="164">
        <v>240021</v>
      </c>
      <c r="E234" s="159" t="s">
        <v>37</v>
      </c>
      <c r="F234" s="162">
        <v>45873</v>
      </c>
      <c r="G234" s="163">
        <f t="shared" si="22"/>
        <v>32</v>
      </c>
      <c r="H234" s="163" t="s">
        <v>54</v>
      </c>
      <c r="I234" s="79" t="str">
        <f t="shared" si="23"/>
        <v>8-2025</v>
      </c>
      <c r="J234" s="86" t="str">
        <f>(YEAR(F234)&amp;TEXT(Table1[[#This Row],[Week]],"00"))</f>
        <v>202532</v>
      </c>
      <c r="K234" s="79" t="str">
        <f>_xlfn.TEXTJOIN("-",TRUE,Table1[[#This Row],[Client]],Table1[[#This Row],[Budget ID]],Table1[[#This Row],[Ressource
'[Initials']]])</f>
        <v>Zystm-240021-ML</v>
      </c>
      <c r="L234" s="19" t="s">
        <v>353</v>
      </c>
      <c r="M234" s="22"/>
      <c r="N234" s="22"/>
      <c r="O234" s="23">
        <v>1</v>
      </c>
      <c r="P234" s="117" cm="1">
        <f t="array" ref="P234">_xlfn.XLOOKUP(Table1[[#This Row],[UID
'[Helper']]],Table2[[#All],[UID
'[Helper']]],Table2[[#All],[Rate
DKK]],"Not found :(",0,1)</f>
        <v>850</v>
      </c>
      <c r="Q234" s="117">
        <f t="shared" si="24"/>
        <v>850</v>
      </c>
      <c r="R234" s="118"/>
      <c r="S234" s="118"/>
    </row>
    <row r="235" spans="1:19" ht="13.5">
      <c r="A235" s="42" t="s">
        <v>92</v>
      </c>
      <c r="B235" s="43" t="s">
        <v>269</v>
      </c>
      <c r="C235" s="44" t="s">
        <v>361</v>
      </c>
      <c r="D235" s="49">
        <v>250402</v>
      </c>
      <c r="E235" s="43" t="s">
        <v>46</v>
      </c>
      <c r="F235" s="20">
        <v>45873</v>
      </c>
      <c r="G235" s="21">
        <f t="shared" si="22"/>
        <v>32</v>
      </c>
      <c r="H235" s="21" t="s">
        <v>20</v>
      </c>
      <c r="I235" s="79" t="str">
        <f t="shared" si="23"/>
        <v>8-2025</v>
      </c>
      <c r="J235" s="86" t="str">
        <f>(YEAR(F235)&amp;TEXT(Table1[[#This Row],[Week]],"00"))</f>
        <v>202532</v>
      </c>
      <c r="K235" s="79" t="str">
        <f>_xlfn.TEXTJOIN("-",TRUE,Table1[[#This Row],[Client]],Table1[[#This Row],[Budget ID]],Table1[[#This Row],[Ressource
'[Initials']]])</f>
        <v>Novo Nordisk-250402-DS</v>
      </c>
      <c r="L235" s="19" t="s">
        <v>363</v>
      </c>
      <c r="M235" s="22"/>
      <c r="N235" s="22"/>
      <c r="O235" s="23">
        <v>2.5</v>
      </c>
      <c r="P235" s="117" cm="1">
        <f t="array" ref="P235">_xlfn.XLOOKUP(Table1[[#This Row],[UID
'[Helper']]],Table2[[#All],[UID
'[Helper']]],Table2[[#All],[Rate
DKK]],"Not found :(",0,1)</f>
        <v>900</v>
      </c>
      <c r="Q235" s="117">
        <f t="shared" si="24"/>
        <v>2250</v>
      </c>
      <c r="R235" s="118"/>
      <c r="S235" s="118"/>
    </row>
    <row r="236" spans="1:19" ht="13.5">
      <c r="A236" s="18" t="s">
        <v>92</v>
      </c>
      <c r="B236" s="18" t="s">
        <v>269</v>
      </c>
      <c r="C236" s="19" t="s">
        <v>361</v>
      </c>
      <c r="D236" s="49">
        <v>250402</v>
      </c>
      <c r="E236" s="18" t="s">
        <v>46</v>
      </c>
      <c r="F236" s="20">
        <v>45873</v>
      </c>
      <c r="G236" s="21">
        <f t="shared" si="22"/>
        <v>32</v>
      </c>
      <c r="H236" s="21" t="s">
        <v>22</v>
      </c>
      <c r="I236" s="79" t="str">
        <f t="shared" si="23"/>
        <v>8-2025</v>
      </c>
      <c r="J236" s="86" t="str">
        <f>(YEAR(F236)&amp;TEXT(Table1[[#This Row],[Week]],"00"))</f>
        <v>202532</v>
      </c>
      <c r="K236" s="79" t="str">
        <f>_xlfn.TEXTJOIN("-",TRUE,Table1[[#This Row],[Client]],Table1[[#This Row],[Budget ID]],Table1[[#This Row],[Ressource
'[Initials']]])</f>
        <v>Novo Nordisk-250402-MS</v>
      </c>
      <c r="L236" s="19" t="s">
        <v>360</v>
      </c>
      <c r="M236" s="22"/>
      <c r="N236" s="22"/>
      <c r="O236" s="23">
        <v>1.5</v>
      </c>
      <c r="P236" s="117" cm="1">
        <f t="array" ref="P236">_xlfn.XLOOKUP(Table1[[#This Row],[UID
'[Helper']]],Table2[[#All],[UID
'[Helper']]],Table2[[#All],[Rate
DKK]],"Not found :(",0,1)</f>
        <v>900</v>
      </c>
      <c r="Q236" s="117">
        <f t="shared" si="24"/>
        <v>1350</v>
      </c>
      <c r="R236" s="118"/>
      <c r="S236" s="118"/>
    </row>
    <row r="237" spans="1:19" ht="27">
      <c r="A237" s="42" t="s">
        <v>14</v>
      </c>
      <c r="B237" s="43" t="s">
        <v>24</v>
      </c>
      <c r="C237" s="44" t="s">
        <v>71</v>
      </c>
      <c r="D237" s="49" t="s">
        <v>218</v>
      </c>
      <c r="E237" s="43" t="s">
        <v>37</v>
      </c>
      <c r="F237" s="20">
        <v>45873</v>
      </c>
      <c r="G237" s="21">
        <f t="shared" si="22"/>
        <v>32</v>
      </c>
      <c r="H237" s="21" t="s">
        <v>22</v>
      </c>
      <c r="I237" s="79" t="str">
        <f t="shared" si="23"/>
        <v>8-2025</v>
      </c>
      <c r="J237" s="86" t="str">
        <f>(YEAR(F237)&amp;TEXT(Table1[[#This Row],[Week]],"00"))</f>
        <v>202532</v>
      </c>
      <c r="K237" s="79" t="str">
        <f>_xlfn.TEXTJOIN("-",TRUE,Table1[[#This Row],[Client]],Table1[[#This Row],[Budget ID]],Table1[[#This Row],[Ressource
'[Initials']]])</f>
        <v>Labflex-230003-1-MS</v>
      </c>
      <c r="L237" s="19" t="s">
        <v>359</v>
      </c>
      <c r="M237" s="22"/>
      <c r="N237" s="22"/>
      <c r="O237" s="23">
        <v>1</v>
      </c>
      <c r="P237" s="117" cm="1">
        <f t="array" ref="P237">_xlfn.XLOOKUP(Table1[[#This Row],[UID
'[Helper']]],Table2[[#All],[UID
'[Helper']]],Table2[[#All],[Rate
DKK]],"Not found :(",0,1)</f>
        <v>900</v>
      </c>
      <c r="Q237" s="117">
        <f t="shared" si="24"/>
        <v>900</v>
      </c>
      <c r="R237" s="118"/>
      <c r="S237" s="118"/>
    </row>
    <row r="238" spans="1:19" ht="27">
      <c r="A238" s="18" t="s">
        <v>14</v>
      </c>
      <c r="B238" s="18" t="s">
        <v>24</v>
      </c>
      <c r="C238" s="19" t="s">
        <v>273</v>
      </c>
      <c r="D238" s="49" t="s">
        <v>218</v>
      </c>
      <c r="E238" s="18" t="s">
        <v>79</v>
      </c>
      <c r="F238" s="20">
        <v>45873</v>
      </c>
      <c r="G238" s="21">
        <f t="shared" si="22"/>
        <v>32</v>
      </c>
      <c r="H238" s="21" t="s">
        <v>22</v>
      </c>
      <c r="I238" s="79" t="str">
        <f t="shared" si="23"/>
        <v>8-2025</v>
      </c>
      <c r="J238" s="86" t="str">
        <f>(YEAR(F238)&amp;TEXT(Table1[[#This Row],[Week]],"00"))</f>
        <v>202532</v>
      </c>
      <c r="K238" s="79" t="str">
        <f>_xlfn.TEXTJOIN("-",TRUE,Table1[[#This Row],[Client]],Table1[[#This Row],[Budget ID]],Table1[[#This Row],[Ressource
'[Initials']]])</f>
        <v>Labflex-230003-1-MS</v>
      </c>
      <c r="L238" s="19" t="s">
        <v>358</v>
      </c>
      <c r="M238" s="22"/>
      <c r="N238" s="22"/>
      <c r="O238" s="23">
        <v>0.5</v>
      </c>
      <c r="P238" s="117" cm="1">
        <f t="array" ref="P238">_xlfn.XLOOKUP(Table1[[#This Row],[UID
'[Helper']]],Table2[[#All],[UID
'[Helper']]],Table2[[#All],[Rate
DKK]],"Not found :(",0,1)</f>
        <v>900</v>
      </c>
      <c r="Q238" s="117">
        <f t="shared" si="24"/>
        <v>450</v>
      </c>
      <c r="R238" s="118"/>
      <c r="S238" s="118"/>
    </row>
    <row r="239" spans="1:19" ht="13.5">
      <c r="A239" s="182" t="s">
        <v>14</v>
      </c>
      <c r="B239" s="182" t="s">
        <v>24</v>
      </c>
      <c r="C239" s="183" t="s">
        <v>72</v>
      </c>
      <c r="D239" s="49" t="s">
        <v>218</v>
      </c>
      <c r="E239" s="182" t="s">
        <v>37</v>
      </c>
      <c r="F239" s="20">
        <v>45957</v>
      </c>
      <c r="G239" s="21">
        <f t="shared" ref="G239:G283" si="25">WEEKNUM($F239,21)</f>
        <v>44</v>
      </c>
      <c r="H239" s="21" t="s">
        <v>369</v>
      </c>
      <c r="I239" s="79" t="str">
        <f t="shared" ref="I239:I283" si="26">(MONTH(F239)&amp;"-"&amp;YEAR(F239))</f>
        <v>10-2025</v>
      </c>
      <c r="J239" s="86" t="str">
        <f>(YEAR(F239)&amp;TEXT(Table1[[#This Row],[Week]],"00"))</f>
        <v>202544</v>
      </c>
      <c r="K239" s="79" t="str">
        <f>_xlfn.TEXTJOIN("-",TRUE,Table1[[#This Row],[Client]],Table1[[#This Row],[Budget ID]],Table1[[#This Row],[Ressource
'[Initials']]])</f>
        <v>Labflex-230003-1-GL</v>
      </c>
      <c r="L239" s="19"/>
      <c r="M239" s="22"/>
      <c r="N239" s="22"/>
      <c r="O239" s="23">
        <v>0.5</v>
      </c>
      <c r="P239" s="117" cm="1">
        <f t="array" ref="P239">_xlfn.XLOOKUP(Table1[[#This Row],[UID
'[Helper']]],Table2[[#All],[UID
'[Helper']]],Table2[[#All],[Rate
DKK]],"Not found :(",0,1)</f>
        <v>800</v>
      </c>
      <c r="Q239" s="117">
        <f t="shared" ref="Q239:Q264" si="27">IFERROR(O239*P239,0)</f>
        <v>400</v>
      </c>
      <c r="R239" s="118"/>
      <c r="S239" s="118"/>
    </row>
    <row r="240" spans="1:19" ht="13.5">
      <c r="A240" s="182" t="s">
        <v>92</v>
      </c>
      <c r="B240" s="182" t="s">
        <v>269</v>
      </c>
      <c r="C240" s="183" t="s">
        <v>361</v>
      </c>
      <c r="D240" s="49">
        <v>250402</v>
      </c>
      <c r="E240" s="182" t="s">
        <v>46</v>
      </c>
      <c r="F240" s="20">
        <v>45957</v>
      </c>
      <c r="G240" s="21">
        <f t="shared" si="25"/>
        <v>44</v>
      </c>
      <c r="H240" s="21" t="s">
        <v>369</v>
      </c>
      <c r="I240" s="79" t="str">
        <f t="shared" si="26"/>
        <v>10-2025</v>
      </c>
      <c r="J240" s="86" t="str">
        <f>(YEAR(F240)&amp;TEXT(Table1[[#This Row],[Week]],"00"))</f>
        <v>202544</v>
      </c>
      <c r="K240" s="79" t="str">
        <f>_xlfn.TEXTJOIN("-",TRUE,Table1[[#This Row],[Client]],Table1[[#This Row],[Budget ID]],Table1[[#This Row],[Ressource
'[Initials']]])</f>
        <v>Novo Nordisk-250402-GL</v>
      </c>
      <c r="L240" s="19" t="s">
        <v>396</v>
      </c>
      <c r="M240" s="22"/>
      <c r="N240" s="22"/>
      <c r="O240" s="23">
        <v>0.5</v>
      </c>
      <c r="P240" s="117" cm="1">
        <f t="array" ref="P240">_xlfn.XLOOKUP(Table1[[#This Row],[UID
'[Helper']]],Table2[[#All],[UID
'[Helper']]],Table2[[#All],[Rate
DKK]],"Not found :(",0,1)</f>
        <v>900</v>
      </c>
      <c r="Q240" s="117">
        <f t="shared" si="27"/>
        <v>450</v>
      </c>
      <c r="R240" s="118"/>
      <c r="S240" s="118"/>
    </row>
    <row r="241" spans="1:19" ht="13.5">
      <c r="A241" s="18" t="s">
        <v>92</v>
      </c>
      <c r="B241" s="18" t="s">
        <v>269</v>
      </c>
      <c r="C241" s="19" t="s">
        <v>361</v>
      </c>
      <c r="D241" s="49">
        <v>250402</v>
      </c>
      <c r="E241" s="18" t="s">
        <v>46</v>
      </c>
      <c r="F241" s="20">
        <v>45958</v>
      </c>
      <c r="G241" s="21">
        <f t="shared" si="25"/>
        <v>44</v>
      </c>
      <c r="H241" s="21" t="s">
        <v>22</v>
      </c>
      <c r="I241" s="79" t="str">
        <f t="shared" si="26"/>
        <v>10-2025</v>
      </c>
      <c r="J241" s="86" t="str">
        <f>(YEAR(F241)&amp;TEXT(Table1[[#This Row],[Week]],"00"))</f>
        <v>202544</v>
      </c>
      <c r="K241" s="79" t="str">
        <f>_xlfn.TEXTJOIN("-",TRUE,Table1[[#This Row],[Client]],Table1[[#This Row],[Budget ID]],Table1[[#This Row],[Ressource
'[Initials']]])</f>
        <v>Novo Nordisk-250402-MS</v>
      </c>
      <c r="L241" s="19" t="s">
        <v>372</v>
      </c>
      <c r="M241" s="22"/>
      <c r="N241" s="22"/>
      <c r="O241" s="23">
        <v>9</v>
      </c>
      <c r="P241" s="117" cm="1">
        <f t="array" ref="P241">_xlfn.XLOOKUP(Table1[[#This Row],[UID
'[Helper']]],Table2[[#All],[UID
'[Helper']]],Table2[[#All],[Rate
DKK]],"Not found :(",0,1)</f>
        <v>900</v>
      </c>
      <c r="Q241" s="117">
        <f t="shared" si="27"/>
        <v>8100</v>
      </c>
      <c r="R241" s="118"/>
      <c r="S241" s="118"/>
    </row>
    <row r="242" spans="1:19" ht="13.5">
      <c r="A242" s="18" t="s">
        <v>14</v>
      </c>
      <c r="B242" s="18" t="s">
        <v>24</v>
      </c>
      <c r="C242" s="19" t="s">
        <v>370</v>
      </c>
      <c r="D242" s="49" t="s">
        <v>218</v>
      </c>
      <c r="E242" s="18" t="s">
        <v>46</v>
      </c>
      <c r="F242" s="20">
        <v>45958</v>
      </c>
      <c r="G242" s="21">
        <f t="shared" si="25"/>
        <v>44</v>
      </c>
      <c r="H242" s="21" t="s">
        <v>22</v>
      </c>
      <c r="I242" s="79" t="str">
        <f t="shared" si="26"/>
        <v>10-2025</v>
      </c>
      <c r="J242" s="86" t="str">
        <f>(YEAR(F242)&amp;TEXT(Table1[[#This Row],[Week]],"00"))</f>
        <v>202544</v>
      </c>
      <c r="K242" s="79" t="str">
        <f>_xlfn.TEXTJOIN("-",TRUE,Table1[[#This Row],[Client]],Table1[[#This Row],[Budget ID]],Table1[[#This Row],[Ressource
'[Initials']]])</f>
        <v>Labflex-230003-1-MS</v>
      </c>
      <c r="L242" s="19" t="s">
        <v>377</v>
      </c>
      <c r="M242" s="22"/>
      <c r="N242" s="22"/>
      <c r="O242" s="23">
        <v>1</v>
      </c>
      <c r="P242" s="117" cm="1">
        <f t="array" ref="P242">_xlfn.XLOOKUP(Table1[[#This Row],[UID
'[Helper']]],Table2[[#All],[UID
'[Helper']]],Table2[[#All],[Rate
DKK]],"Not found :(",0,1)</f>
        <v>900</v>
      </c>
      <c r="Q242" s="117">
        <f t="shared" si="27"/>
        <v>900</v>
      </c>
      <c r="R242" s="118"/>
      <c r="S242" s="118"/>
    </row>
    <row r="243" spans="1:19" ht="13.5">
      <c r="A243" s="18" t="s">
        <v>14</v>
      </c>
      <c r="B243" s="18" t="s">
        <v>24</v>
      </c>
      <c r="C243" s="19" t="s">
        <v>371</v>
      </c>
      <c r="D243" s="49" t="s">
        <v>218</v>
      </c>
      <c r="E243" s="18" t="s">
        <v>46</v>
      </c>
      <c r="F243" s="20">
        <v>45958</v>
      </c>
      <c r="G243" s="21">
        <f t="shared" si="25"/>
        <v>44</v>
      </c>
      <c r="H243" s="21" t="s">
        <v>22</v>
      </c>
      <c r="I243" s="79" t="str">
        <f t="shared" si="26"/>
        <v>10-2025</v>
      </c>
      <c r="J243" s="86" t="str">
        <f>(YEAR(F243)&amp;TEXT(Table1[[#This Row],[Week]],"00"))</f>
        <v>202544</v>
      </c>
      <c r="K243" s="79" t="str">
        <f>_xlfn.TEXTJOIN("-",TRUE,Table1[[#This Row],[Client]],Table1[[#This Row],[Budget ID]],Table1[[#This Row],[Ressource
'[Initials']]])</f>
        <v>Labflex-230003-1-MS</v>
      </c>
      <c r="L243" s="19" t="s">
        <v>378</v>
      </c>
      <c r="M243" s="22"/>
      <c r="N243" s="22"/>
      <c r="O243" s="23">
        <v>1.5</v>
      </c>
      <c r="P243" s="117" cm="1">
        <f t="array" ref="P243">_xlfn.XLOOKUP(Table1[[#This Row],[UID
'[Helper']]],Table2[[#All],[UID
'[Helper']]],Table2[[#All],[Rate
DKK]],"Not found :(",0,1)</f>
        <v>900</v>
      </c>
      <c r="Q243" s="117">
        <f t="shared" si="27"/>
        <v>1350</v>
      </c>
      <c r="R243" s="118"/>
      <c r="S243" s="118"/>
    </row>
    <row r="244" spans="1:19" ht="13.5">
      <c r="A244" s="182" t="s">
        <v>107</v>
      </c>
      <c r="B244" s="182" t="s">
        <v>154</v>
      </c>
      <c r="C244" s="183"/>
      <c r="D244" s="49">
        <v>240021</v>
      </c>
      <c r="E244" s="182" t="s">
        <v>37</v>
      </c>
      <c r="F244" s="184">
        <v>45958</v>
      </c>
      <c r="G244" s="185">
        <f t="shared" si="25"/>
        <v>44</v>
      </c>
      <c r="H244" s="185" t="s">
        <v>54</v>
      </c>
      <c r="I244" s="79" t="str">
        <f t="shared" si="26"/>
        <v>10-2025</v>
      </c>
      <c r="J244" s="86" t="str">
        <f>(YEAR(F244)&amp;TEXT(Table1[[#This Row],[Week]],"00"))</f>
        <v>202544</v>
      </c>
      <c r="K244" s="79" t="str">
        <f>_xlfn.TEXTJOIN("-",TRUE,Table1[[#This Row],[Client]],Table1[[#This Row],[Budget ID]],Table1[[#This Row],[Ressource
'[Initials']]])</f>
        <v>Zystm-240021-ML</v>
      </c>
      <c r="L244" s="19"/>
      <c r="M244" s="22"/>
      <c r="N244" s="22"/>
      <c r="O244" s="23">
        <v>2.5</v>
      </c>
      <c r="P244" s="117" cm="1">
        <f t="array" ref="P244">_xlfn.XLOOKUP(Table1[[#This Row],[UID
'[Helper']]],Table2[[#All],[UID
'[Helper']]],Table2[[#All],[Rate
DKK]],"Not found :(",0,1)</f>
        <v>850</v>
      </c>
      <c r="Q244" s="117">
        <f t="shared" si="27"/>
        <v>2125</v>
      </c>
      <c r="R244" s="118"/>
      <c r="S244" s="118"/>
    </row>
    <row r="245" spans="1:19" ht="13.5">
      <c r="A245" s="182" t="s">
        <v>14</v>
      </c>
      <c r="B245" s="182" t="s">
        <v>24</v>
      </c>
      <c r="C245" s="183" t="s">
        <v>370</v>
      </c>
      <c r="D245" s="49" t="s">
        <v>218</v>
      </c>
      <c r="E245" s="182" t="s">
        <v>46</v>
      </c>
      <c r="F245" s="20">
        <v>45958</v>
      </c>
      <c r="G245" s="21">
        <f t="shared" si="25"/>
        <v>44</v>
      </c>
      <c r="H245" s="21" t="s">
        <v>369</v>
      </c>
      <c r="I245" s="79" t="str">
        <f t="shared" si="26"/>
        <v>10-2025</v>
      </c>
      <c r="J245" s="86" t="str">
        <f>(YEAR(F245)&amp;TEXT(Table1[[#This Row],[Week]],"00"))</f>
        <v>202544</v>
      </c>
      <c r="K245" s="79" t="str">
        <f>_xlfn.TEXTJOIN("-",TRUE,Table1[[#This Row],[Client]],Table1[[#This Row],[Budget ID]],Table1[[#This Row],[Ressource
'[Initials']]])</f>
        <v>Labflex-230003-1-GL</v>
      </c>
      <c r="L245" s="19"/>
      <c r="M245" s="22"/>
      <c r="N245" s="22"/>
      <c r="O245" s="23">
        <v>1.5</v>
      </c>
      <c r="P245" s="117" cm="1">
        <f t="array" ref="P245">_xlfn.XLOOKUP(Table1[[#This Row],[UID
'[Helper']]],Table2[[#All],[UID
'[Helper']]],Table2[[#All],[Rate
DKK]],"Not found :(",0,1)</f>
        <v>800</v>
      </c>
      <c r="Q245" s="117">
        <f t="shared" si="27"/>
        <v>1200</v>
      </c>
      <c r="R245" s="118"/>
      <c r="S245" s="118"/>
    </row>
    <row r="246" spans="1:19" ht="13.5">
      <c r="A246" s="182" t="s">
        <v>14</v>
      </c>
      <c r="B246" s="182" t="s">
        <v>24</v>
      </c>
      <c r="C246" s="183" t="s">
        <v>371</v>
      </c>
      <c r="D246" s="49" t="s">
        <v>218</v>
      </c>
      <c r="E246" s="182" t="s">
        <v>46</v>
      </c>
      <c r="F246" s="20">
        <v>45958</v>
      </c>
      <c r="G246" s="21">
        <f t="shared" si="25"/>
        <v>44</v>
      </c>
      <c r="H246" s="21" t="s">
        <v>369</v>
      </c>
      <c r="I246" s="79" t="str">
        <f t="shared" si="26"/>
        <v>10-2025</v>
      </c>
      <c r="J246" s="86" t="str">
        <f>(YEAR(F246)&amp;TEXT(Table1[[#This Row],[Week]],"00"))</f>
        <v>202544</v>
      </c>
      <c r="K246" s="79" t="str">
        <f>_xlfn.TEXTJOIN("-",TRUE,Table1[[#This Row],[Client]],Table1[[#This Row],[Budget ID]],Table1[[#This Row],[Ressource
'[Initials']]])</f>
        <v>Labflex-230003-1-GL</v>
      </c>
      <c r="L246" s="19"/>
      <c r="M246" s="22"/>
      <c r="N246" s="22"/>
      <c r="O246" s="23">
        <v>1.5</v>
      </c>
      <c r="P246" s="117" cm="1">
        <f t="array" ref="P246">_xlfn.XLOOKUP(Table1[[#This Row],[UID
'[Helper']]],Table2[[#All],[UID
'[Helper']]],Table2[[#All],[Rate
DKK]],"Not found :(",0,1)</f>
        <v>800</v>
      </c>
      <c r="Q246" s="117">
        <f t="shared" si="27"/>
        <v>1200</v>
      </c>
      <c r="R246" s="118"/>
      <c r="S246" s="118"/>
    </row>
    <row r="247" spans="1:19" ht="13.5">
      <c r="A247" s="182" t="s">
        <v>14</v>
      </c>
      <c r="B247" s="182" t="s">
        <v>24</v>
      </c>
      <c r="C247" s="183" t="s">
        <v>72</v>
      </c>
      <c r="D247" s="49" t="s">
        <v>218</v>
      </c>
      <c r="E247" s="182" t="s">
        <v>37</v>
      </c>
      <c r="F247" s="20">
        <v>45958</v>
      </c>
      <c r="G247" s="21">
        <f t="shared" si="25"/>
        <v>44</v>
      </c>
      <c r="H247" s="21" t="s">
        <v>369</v>
      </c>
      <c r="I247" s="79" t="str">
        <f t="shared" si="26"/>
        <v>10-2025</v>
      </c>
      <c r="J247" s="86" t="str">
        <f>(YEAR(F247)&amp;TEXT(Table1[[#This Row],[Week]],"00"))</f>
        <v>202544</v>
      </c>
      <c r="K247" s="79" t="str">
        <f>_xlfn.TEXTJOIN("-",TRUE,Table1[[#This Row],[Client]],Table1[[#This Row],[Budget ID]],Table1[[#This Row],[Ressource
'[Initials']]])</f>
        <v>Labflex-230003-1-GL</v>
      </c>
      <c r="L247" s="19"/>
      <c r="M247" s="22"/>
      <c r="N247" s="22"/>
      <c r="O247" s="23">
        <v>0.5</v>
      </c>
      <c r="P247" s="117" cm="1">
        <f t="array" ref="P247">_xlfn.XLOOKUP(Table1[[#This Row],[UID
'[Helper']]],Table2[[#All],[UID
'[Helper']]],Table2[[#All],[Rate
DKK]],"Not found :(",0,1)</f>
        <v>800</v>
      </c>
      <c r="Q247" s="117">
        <f t="shared" si="27"/>
        <v>400</v>
      </c>
      <c r="R247" s="118"/>
      <c r="S247" s="118"/>
    </row>
    <row r="248" spans="1:19" ht="13.5">
      <c r="A248" s="18" t="s">
        <v>92</v>
      </c>
      <c r="B248" s="18" t="s">
        <v>269</v>
      </c>
      <c r="C248" s="19" t="s">
        <v>361</v>
      </c>
      <c r="D248" s="49">
        <v>250402</v>
      </c>
      <c r="E248" s="18" t="s">
        <v>46</v>
      </c>
      <c r="F248" s="20">
        <v>45958</v>
      </c>
      <c r="G248" s="21">
        <f t="shared" si="25"/>
        <v>44</v>
      </c>
      <c r="H248" s="21" t="s">
        <v>20</v>
      </c>
      <c r="I248" s="79" t="str">
        <f t="shared" si="26"/>
        <v>10-2025</v>
      </c>
      <c r="J248" s="86" t="str">
        <f>(YEAR(F248)&amp;TEXT(Table1[[#This Row],[Week]],"00"))</f>
        <v>202544</v>
      </c>
      <c r="K248" s="79" t="str">
        <f>_xlfn.TEXTJOIN("-",TRUE,Table1[[#This Row],[Client]],Table1[[#This Row],[Budget ID]],Table1[[#This Row],[Ressource
'[Initials']]])</f>
        <v>Novo Nordisk-250402-DS</v>
      </c>
      <c r="L248" s="19" t="s">
        <v>372</v>
      </c>
      <c r="M248" s="22"/>
      <c r="N248" s="22"/>
      <c r="O248" s="23">
        <v>9</v>
      </c>
      <c r="P248" s="117" cm="1">
        <f t="array" ref="P248">_xlfn.XLOOKUP(Table1[[#This Row],[UID
'[Helper']]],Table2[[#All],[UID
'[Helper']]],Table2[[#All],[Rate
DKK]],"Not found :(",0,1)</f>
        <v>900</v>
      </c>
      <c r="Q248" s="117">
        <f t="shared" si="27"/>
        <v>8100</v>
      </c>
      <c r="R248" s="118"/>
      <c r="S248" s="118"/>
    </row>
    <row r="249" spans="1:19" ht="13.5">
      <c r="A249" s="182" t="s">
        <v>92</v>
      </c>
      <c r="B249" s="182" t="s">
        <v>269</v>
      </c>
      <c r="C249" s="183" t="s">
        <v>361</v>
      </c>
      <c r="D249" s="49">
        <v>250402</v>
      </c>
      <c r="E249" s="182" t="s">
        <v>46</v>
      </c>
      <c r="F249" s="20">
        <v>45958</v>
      </c>
      <c r="G249" s="21">
        <f t="shared" si="25"/>
        <v>44</v>
      </c>
      <c r="H249" s="21" t="s">
        <v>369</v>
      </c>
      <c r="I249" s="79" t="str">
        <f t="shared" si="26"/>
        <v>10-2025</v>
      </c>
      <c r="J249" s="86" t="str">
        <f>(YEAR(F249)&amp;TEXT(Table1[[#This Row],[Week]],"00"))</f>
        <v>202544</v>
      </c>
      <c r="K249" s="79" t="str">
        <f>_xlfn.TEXTJOIN("-",TRUE,Table1[[#This Row],[Client]],Table1[[#This Row],[Budget ID]],Table1[[#This Row],[Ressource
'[Initials']]])</f>
        <v>Novo Nordisk-250402-GL</v>
      </c>
      <c r="L249" s="19" t="s">
        <v>397</v>
      </c>
      <c r="M249" s="22"/>
      <c r="N249" s="22"/>
      <c r="O249" s="23">
        <v>1</v>
      </c>
      <c r="P249" s="117" cm="1">
        <f t="array" ref="P249">_xlfn.XLOOKUP(Table1[[#This Row],[UID
'[Helper']]],Table2[[#All],[UID
'[Helper']]],Table2[[#All],[Rate
DKK]],"Not found :(",0,1)</f>
        <v>900</v>
      </c>
      <c r="Q249" s="117">
        <f t="shared" si="27"/>
        <v>900</v>
      </c>
      <c r="R249" s="118"/>
      <c r="S249" s="118"/>
    </row>
    <row r="250" spans="1:19" ht="13.5">
      <c r="A250" s="18" t="s">
        <v>92</v>
      </c>
      <c r="B250" s="18" t="s">
        <v>269</v>
      </c>
      <c r="C250" s="19" t="s">
        <v>361</v>
      </c>
      <c r="D250" s="49">
        <v>250402</v>
      </c>
      <c r="E250" s="18" t="s">
        <v>46</v>
      </c>
      <c r="F250" s="20">
        <v>45959</v>
      </c>
      <c r="G250" s="21">
        <f t="shared" si="25"/>
        <v>44</v>
      </c>
      <c r="H250" s="21" t="s">
        <v>22</v>
      </c>
      <c r="I250" s="79" t="str">
        <f t="shared" si="26"/>
        <v>10-2025</v>
      </c>
      <c r="J250" s="86" t="str">
        <f>(YEAR(F250)&amp;TEXT(Table1[[#This Row],[Week]],"00"))</f>
        <v>202544</v>
      </c>
      <c r="K250" s="79" t="str">
        <f>_xlfn.TEXTJOIN("-",TRUE,Table1[[#This Row],[Client]],Table1[[#This Row],[Budget ID]],Table1[[#This Row],[Ressource
'[Initials']]])</f>
        <v>Novo Nordisk-250402-MS</v>
      </c>
      <c r="L250" s="19" t="s">
        <v>375</v>
      </c>
      <c r="M250" s="22"/>
      <c r="N250" s="22"/>
      <c r="O250" s="23">
        <v>7</v>
      </c>
      <c r="P250" s="117" cm="1">
        <f t="array" ref="P250">_xlfn.XLOOKUP(Table1[[#This Row],[UID
'[Helper']]],Table2[[#All],[UID
'[Helper']]],Table2[[#All],[Rate
DKK]],"Not found :(",0,1)</f>
        <v>900</v>
      </c>
      <c r="Q250" s="117">
        <f t="shared" si="27"/>
        <v>6300</v>
      </c>
      <c r="R250" s="118"/>
      <c r="S250" s="118"/>
    </row>
    <row r="251" spans="1:19" ht="13.5">
      <c r="A251" s="18" t="s">
        <v>259</v>
      </c>
      <c r="B251" s="18" t="s">
        <v>260</v>
      </c>
      <c r="C251" s="19"/>
      <c r="D251" s="49">
        <v>250401</v>
      </c>
      <c r="E251" s="18" t="s">
        <v>46</v>
      </c>
      <c r="F251" s="20">
        <v>45959</v>
      </c>
      <c r="G251" s="21">
        <f t="shared" si="25"/>
        <v>44</v>
      </c>
      <c r="H251" s="21" t="s">
        <v>22</v>
      </c>
      <c r="I251" s="79" t="str">
        <f t="shared" si="26"/>
        <v>10-2025</v>
      </c>
      <c r="J251" s="86" t="str">
        <f>(YEAR(F251)&amp;TEXT(Table1[[#This Row],[Week]],"00"))</f>
        <v>202544</v>
      </c>
      <c r="K251" s="79" t="str">
        <f>_xlfn.TEXTJOIN("-",TRUE,Table1[[#This Row],[Client]],Table1[[#This Row],[Budget ID]],Table1[[#This Row],[Ressource
'[Initials']]])</f>
        <v>DLF Seeds-250401-MS</v>
      </c>
      <c r="L251" s="19" t="s">
        <v>374</v>
      </c>
      <c r="M251" s="22"/>
      <c r="N251" s="22"/>
      <c r="O251" s="23">
        <v>1.5</v>
      </c>
      <c r="P251" s="117" cm="1">
        <f t="array" ref="P251">_xlfn.XLOOKUP(Table1[[#This Row],[UID
'[Helper']]],Table2[[#All],[UID
'[Helper']]],Table2[[#All],[Rate
DKK]],"Not found :(",0,1)</f>
        <v>900</v>
      </c>
      <c r="Q251" s="117">
        <f t="shared" si="27"/>
        <v>1350</v>
      </c>
      <c r="R251" s="118"/>
      <c r="S251" s="118"/>
    </row>
    <row r="252" spans="1:19" ht="27">
      <c r="A252" s="18" t="s">
        <v>14</v>
      </c>
      <c r="B252" s="18" t="s">
        <v>24</v>
      </c>
      <c r="C252" s="19" t="s">
        <v>370</v>
      </c>
      <c r="D252" s="49" t="s">
        <v>218</v>
      </c>
      <c r="E252" s="18" t="s">
        <v>46</v>
      </c>
      <c r="F252" s="20">
        <v>45959</v>
      </c>
      <c r="G252" s="21">
        <f t="shared" si="25"/>
        <v>44</v>
      </c>
      <c r="H252" s="21" t="s">
        <v>22</v>
      </c>
      <c r="I252" s="79" t="str">
        <f t="shared" si="26"/>
        <v>10-2025</v>
      </c>
      <c r="J252" s="86" t="str">
        <f>(YEAR(F252)&amp;TEXT(Table1[[#This Row],[Week]],"00"))</f>
        <v>202544</v>
      </c>
      <c r="K252" s="79" t="str">
        <f>_xlfn.TEXTJOIN("-",TRUE,Table1[[#This Row],[Client]],Table1[[#This Row],[Budget ID]],Table1[[#This Row],[Ressource
'[Initials']]])</f>
        <v>Labflex-230003-1-MS</v>
      </c>
      <c r="L252" s="19" t="s">
        <v>376</v>
      </c>
      <c r="M252" s="22"/>
      <c r="N252" s="22"/>
      <c r="O252" s="23">
        <v>1</v>
      </c>
      <c r="P252" s="117" cm="1">
        <f t="array" ref="P252">_xlfn.XLOOKUP(Table1[[#This Row],[UID
'[Helper']]],Table2[[#All],[UID
'[Helper']]],Table2[[#All],[Rate
DKK]],"Not found :(",0,1)</f>
        <v>900</v>
      </c>
      <c r="Q252" s="117">
        <f t="shared" si="27"/>
        <v>900</v>
      </c>
      <c r="R252" s="118"/>
      <c r="S252" s="118"/>
    </row>
    <row r="253" spans="1:19" ht="27">
      <c r="A253" s="18" t="s">
        <v>14</v>
      </c>
      <c r="B253" s="18" t="s">
        <v>24</v>
      </c>
      <c r="C253" s="19" t="s">
        <v>371</v>
      </c>
      <c r="D253" s="49" t="s">
        <v>218</v>
      </c>
      <c r="E253" s="18" t="s">
        <v>46</v>
      </c>
      <c r="F253" s="20">
        <v>45959</v>
      </c>
      <c r="G253" s="21">
        <f t="shared" si="25"/>
        <v>44</v>
      </c>
      <c r="H253" s="21" t="s">
        <v>22</v>
      </c>
      <c r="I253" s="79" t="str">
        <f t="shared" si="26"/>
        <v>10-2025</v>
      </c>
      <c r="J253" s="86" t="str">
        <f>(YEAR(F253)&amp;TEXT(Table1[[#This Row],[Week]],"00"))</f>
        <v>202544</v>
      </c>
      <c r="K253" s="79" t="str">
        <f>_xlfn.TEXTJOIN("-",TRUE,Table1[[#This Row],[Client]],Table1[[#This Row],[Budget ID]],Table1[[#This Row],[Ressource
'[Initials']]])</f>
        <v>Labflex-230003-1-MS</v>
      </c>
      <c r="L253" s="19" t="s">
        <v>376</v>
      </c>
      <c r="M253" s="22"/>
      <c r="N253" s="22"/>
      <c r="O253" s="23">
        <v>1</v>
      </c>
      <c r="P253" s="117" cm="1">
        <f t="array" ref="P253">_xlfn.XLOOKUP(Table1[[#This Row],[UID
'[Helper']]],Table2[[#All],[UID
'[Helper']]],Table2[[#All],[Rate
DKK]],"Not found :(",0,1)</f>
        <v>900</v>
      </c>
      <c r="Q253" s="117">
        <f t="shared" si="27"/>
        <v>900</v>
      </c>
      <c r="R253" s="118"/>
      <c r="S253" s="118"/>
    </row>
    <row r="254" spans="1:19" ht="13.5">
      <c r="A254" s="182" t="s">
        <v>107</v>
      </c>
      <c r="B254" s="182" t="s">
        <v>154</v>
      </c>
      <c r="C254" s="183"/>
      <c r="D254" s="49">
        <v>240021</v>
      </c>
      <c r="E254" s="182" t="s">
        <v>37</v>
      </c>
      <c r="F254" s="184">
        <v>45959</v>
      </c>
      <c r="G254" s="185">
        <f t="shared" si="25"/>
        <v>44</v>
      </c>
      <c r="H254" s="185" t="s">
        <v>54</v>
      </c>
      <c r="I254" s="79" t="str">
        <f t="shared" si="26"/>
        <v>10-2025</v>
      </c>
      <c r="J254" s="86" t="str">
        <f>(YEAR(F254)&amp;TEXT(Table1[[#This Row],[Week]],"00"))</f>
        <v>202544</v>
      </c>
      <c r="K254" s="79" t="str">
        <f>_xlfn.TEXTJOIN("-",TRUE,Table1[[#This Row],[Client]],Table1[[#This Row],[Budget ID]],Table1[[#This Row],[Ressource
'[Initials']]])</f>
        <v>Zystm-240021-ML</v>
      </c>
      <c r="L254" s="19"/>
      <c r="M254" s="22"/>
      <c r="N254" s="22"/>
      <c r="O254" s="23">
        <v>9</v>
      </c>
      <c r="P254" s="117" cm="1">
        <f t="array" ref="P254">_xlfn.XLOOKUP(Table1[[#This Row],[UID
'[Helper']]],Table2[[#All],[UID
'[Helper']]],Table2[[#All],[Rate
DKK]],"Not found :(",0,1)</f>
        <v>850</v>
      </c>
      <c r="Q254" s="117">
        <f t="shared" si="27"/>
        <v>7650</v>
      </c>
      <c r="R254" s="118"/>
      <c r="S254" s="118"/>
    </row>
    <row r="255" spans="1:19" ht="13.5">
      <c r="A255" s="182" t="s">
        <v>259</v>
      </c>
      <c r="B255" s="182" t="s">
        <v>260</v>
      </c>
      <c r="C255" s="183"/>
      <c r="D255" s="49">
        <v>250401</v>
      </c>
      <c r="E255" s="182" t="s">
        <v>46</v>
      </c>
      <c r="F255" s="184">
        <v>45959</v>
      </c>
      <c r="G255" s="185">
        <f t="shared" si="25"/>
        <v>44</v>
      </c>
      <c r="H255" s="185" t="s">
        <v>54</v>
      </c>
      <c r="I255" s="79" t="str">
        <f t="shared" si="26"/>
        <v>10-2025</v>
      </c>
      <c r="J255" s="86" t="str">
        <f>(YEAR(F255)&amp;TEXT(Table1[[#This Row],[Week]],"00"))</f>
        <v>202544</v>
      </c>
      <c r="K255" s="79" t="str">
        <f>_xlfn.TEXTJOIN("-",TRUE,Table1[[#This Row],[Client]],Table1[[#This Row],[Budget ID]],Table1[[#This Row],[Ressource
'[Initials']]])</f>
        <v>DLF Seeds-250401-ML</v>
      </c>
      <c r="L255" s="19" t="s">
        <v>162</v>
      </c>
      <c r="M255" s="22"/>
      <c r="N255" s="22"/>
      <c r="O255" s="23">
        <v>1</v>
      </c>
      <c r="P255" s="117" cm="1">
        <f t="array" ref="P255">_xlfn.XLOOKUP(Table1[[#This Row],[UID
'[Helper']]],Table2[[#All],[UID
'[Helper']]],Table2[[#All],[Rate
DKK]],"Not found :(",0,1)</f>
        <v>900</v>
      </c>
      <c r="Q255" s="117">
        <f t="shared" si="27"/>
        <v>900</v>
      </c>
      <c r="R255" s="118"/>
      <c r="S255" s="118"/>
    </row>
    <row r="256" spans="1:19" ht="13.5">
      <c r="A256" s="182" t="s">
        <v>107</v>
      </c>
      <c r="B256" s="182" t="s">
        <v>153</v>
      </c>
      <c r="C256" s="183"/>
      <c r="D256" s="49">
        <v>240021</v>
      </c>
      <c r="E256" s="182" t="s">
        <v>37</v>
      </c>
      <c r="F256" s="184">
        <v>45959</v>
      </c>
      <c r="G256" s="185">
        <f t="shared" si="25"/>
        <v>44</v>
      </c>
      <c r="H256" s="185" t="s">
        <v>54</v>
      </c>
      <c r="I256" s="79" t="str">
        <f t="shared" si="26"/>
        <v>10-2025</v>
      </c>
      <c r="J256" s="86" t="str">
        <f>(YEAR(F256)&amp;TEXT(Table1[[#This Row],[Week]],"00"))</f>
        <v>202544</v>
      </c>
      <c r="K256" s="79" t="str">
        <f>_xlfn.TEXTJOIN("-",TRUE,Table1[[#This Row],[Client]],Table1[[#This Row],[Budget ID]],Table1[[#This Row],[Ressource
'[Initials']]])</f>
        <v>Zystm-240021-ML</v>
      </c>
      <c r="L256" s="19"/>
      <c r="M256" s="22"/>
      <c r="N256" s="22"/>
      <c r="O256" s="23">
        <v>1</v>
      </c>
      <c r="P256" s="117" cm="1">
        <f t="array" ref="P256">_xlfn.XLOOKUP(Table1[[#This Row],[UID
'[Helper']]],Table2[[#All],[UID
'[Helper']]],Table2[[#All],[Rate
DKK]],"Not found :(",0,1)</f>
        <v>850</v>
      </c>
      <c r="Q256" s="117">
        <f t="shared" si="27"/>
        <v>850</v>
      </c>
      <c r="R256" s="118"/>
      <c r="S256" s="118"/>
    </row>
    <row r="257" spans="1:19" ht="13.5">
      <c r="A257" s="182" t="s">
        <v>14</v>
      </c>
      <c r="B257" s="182" t="s">
        <v>24</v>
      </c>
      <c r="C257" s="183" t="s">
        <v>268</v>
      </c>
      <c r="D257" s="49" t="s">
        <v>218</v>
      </c>
      <c r="E257" s="182" t="s">
        <v>79</v>
      </c>
      <c r="F257" s="20">
        <v>45959</v>
      </c>
      <c r="G257" s="21">
        <f t="shared" si="25"/>
        <v>44</v>
      </c>
      <c r="H257" s="21" t="s">
        <v>369</v>
      </c>
      <c r="I257" s="79" t="str">
        <f t="shared" si="26"/>
        <v>10-2025</v>
      </c>
      <c r="J257" s="86" t="str">
        <f>(YEAR(F257)&amp;TEXT(Table1[[#This Row],[Week]],"00"))</f>
        <v>202544</v>
      </c>
      <c r="K257" s="79" t="str">
        <f>_xlfn.TEXTJOIN("-",TRUE,Table1[[#This Row],[Client]],Table1[[#This Row],[Budget ID]],Table1[[#This Row],[Ressource
'[Initials']]])</f>
        <v>Labflex-230003-1-GL</v>
      </c>
      <c r="L257" s="19"/>
      <c r="M257" s="22"/>
      <c r="N257" s="22"/>
      <c r="O257" s="23">
        <v>1</v>
      </c>
      <c r="P257" s="117" cm="1">
        <f t="array" ref="P257">_xlfn.XLOOKUP(Table1[[#This Row],[UID
'[Helper']]],Table2[[#All],[UID
'[Helper']]],Table2[[#All],[Rate
DKK]],"Not found :(",0,1)</f>
        <v>800</v>
      </c>
      <c r="Q257" s="117">
        <f t="shared" si="27"/>
        <v>800</v>
      </c>
      <c r="R257" s="118"/>
      <c r="S257" s="118"/>
    </row>
    <row r="258" spans="1:19" ht="13.5">
      <c r="A258" s="182" t="s">
        <v>14</v>
      </c>
      <c r="B258" s="182" t="s">
        <v>24</v>
      </c>
      <c r="C258" s="183" t="s">
        <v>370</v>
      </c>
      <c r="D258" s="49" t="s">
        <v>218</v>
      </c>
      <c r="E258" s="182" t="s">
        <v>46</v>
      </c>
      <c r="F258" s="20">
        <v>45959</v>
      </c>
      <c r="G258" s="21">
        <f t="shared" si="25"/>
        <v>44</v>
      </c>
      <c r="H258" s="21" t="s">
        <v>369</v>
      </c>
      <c r="I258" s="79" t="str">
        <f t="shared" si="26"/>
        <v>10-2025</v>
      </c>
      <c r="J258" s="86" t="str">
        <f>(YEAR(F258)&amp;TEXT(Table1[[#This Row],[Week]],"00"))</f>
        <v>202544</v>
      </c>
      <c r="K258" s="79" t="str">
        <f>_xlfn.TEXTJOIN("-",TRUE,Table1[[#This Row],[Client]],Table1[[#This Row],[Budget ID]],Table1[[#This Row],[Ressource
'[Initials']]])</f>
        <v>Labflex-230003-1-GL</v>
      </c>
      <c r="L258" s="19"/>
      <c r="M258" s="22"/>
      <c r="N258" s="22"/>
      <c r="O258" s="23">
        <v>0.5</v>
      </c>
      <c r="P258" s="117" cm="1">
        <f t="array" ref="P258">_xlfn.XLOOKUP(Table1[[#This Row],[UID
'[Helper']]],Table2[[#All],[UID
'[Helper']]],Table2[[#All],[Rate
DKK]],"Not found :(",0,1)</f>
        <v>800</v>
      </c>
      <c r="Q258" s="117">
        <f t="shared" si="27"/>
        <v>400</v>
      </c>
      <c r="R258" s="118"/>
      <c r="S258" s="118"/>
    </row>
    <row r="259" spans="1:19" ht="13.5">
      <c r="A259" s="182" t="s">
        <v>14</v>
      </c>
      <c r="B259" s="182" t="s">
        <v>24</v>
      </c>
      <c r="C259" s="183" t="s">
        <v>371</v>
      </c>
      <c r="D259" s="49" t="s">
        <v>218</v>
      </c>
      <c r="E259" s="182" t="s">
        <v>46</v>
      </c>
      <c r="F259" s="20">
        <v>45959</v>
      </c>
      <c r="G259" s="21">
        <f t="shared" si="25"/>
        <v>44</v>
      </c>
      <c r="H259" s="21" t="s">
        <v>369</v>
      </c>
      <c r="I259" s="79" t="str">
        <f t="shared" si="26"/>
        <v>10-2025</v>
      </c>
      <c r="J259" s="86" t="str">
        <f>(YEAR(F259)&amp;TEXT(Table1[[#This Row],[Week]],"00"))</f>
        <v>202544</v>
      </c>
      <c r="K259" s="79" t="str">
        <f>_xlfn.TEXTJOIN("-",TRUE,Table1[[#This Row],[Client]],Table1[[#This Row],[Budget ID]],Table1[[#This Row],[Ressource
'[Initials']]])</f>
        <v>Labflex-230003-1-GL</v>
      </c>
      <c r="L259" s="19"/>
      <c r="M259" s="22"/>
      <c r="N259" s="22"/>
      <c r="O259" s="23">
        <v>1.5</v>
      </c>
      <c r="P259" s="117" cm="1">
        <f t="array" ref="P259">_xlfn.XLOOKUP(Table1[[#This Row],[UID
'[Helper']]],Table2[[#All],[UID
'[Helper']]],Table2[[#All],[Rate
DKK]],"Not found :(",0,1)</f>
        <v>800</v>
      </c>
      <c r="Q259" s="117">
        <f t="shared" si="27"/>
        <v>1200</v>
      </c>
      <c r="R259" s="118"/>
      <c r="S259" s="118"/>
    </row>
    <row r="260" spans="1:19" ht="13.5">
      <c r="A260" s="182" t="s">
        <v>14</v>
      </c>
      <c r="B260" s="182" t="s">
        <v>24</v>
      </c>
      <c r="C260" s="183" t="s">
        <v>71</v>
      </c>
      <c r="D260" s="49" t="s">
        <v>218</v>
      </c>
      <c r="E260" s="182" t="s">
        <v>37</v>
      </c>
      <c r="F260" s="20">
        <v>45959</v>
      </c>
      <c r="G260" s="21">
        <f t="shared" si="25"/>
        <v>44</v>
      </c>
      <c r="H260" s="21" t="s">
        <v>369</v>
      </c>
      <c r="I260" s="79" t="str">
        <f t="shared" si="26"/>
        <v>10-2025</v>
      </c>
      <c r="J260" s="86" t="str">
        <f>(YEAR(F260)&amp;TEXT(Table1[[#This Row],[Week]],"00"))</f>
        <v>202544</v>
      </c>
      <c r="K260" s="79" t="str">
        <f>_xlfn.TEXTJOIN("-",TRUE,Table1[[#This Row],[Client]],Table1[[#This Row],[Budget ID]],Table1[[#This Row],[Ressource
'[Initials']]])</f>
        <v>Labflex-230003-1-GL</v>
      </c>
      <c r="L260" s="19"/>
      <c r="M260" s="22"/>
      <c r="N260" s="22"/>
      <c r="O260" s="23">
        <v>0.5</v>
      </c>
      <c r="P260" s="117" cm="1">
        <f t="array" ref="P260">_xlfn.XLOOKUP(Table1[[#This Row],[UID
'[Helper']]],Table2[[#All],[UID
'[Helper']]],Table2[[#All],[Rate
DKK]],"Not found :(",0,1)</f>
        <v>800</v>
      </c>
      <c r="Q260" s="117">
        <f t="shared" si="27"/>
        <v>400</v>
      </c>
      <c r="R260" s="118"/>
      <c r="S260" s="118"/>
    </row>
    <row r="261" spans="1:19" ht="27">
      <c r="A261" s="18" t="s">
        <v>92</v>
      </c>
      <c r="B261" s="18" t="s">
        <v>269</v>
      </c>
      <c r="C261" s="19" t="s">
        <v>361</v>
      </c>
      <c r="D261" s="49">
        <v>250402</v>
      </c>
      <c r="E261" s="18" t="s">
        <v>46</v>
      </c>
      <c r="F261" s="20">
        <v>45959</v>
      </c>
      <c r="G261" s="21">
        <f t="shared" si="25"/>
        <v>44</v>
      </c>
      <c r="H261" s="21" t="s">
        <v>20</v>
      </c>
      <c r="I261" s="79" t="str">
        <f t="shared" si="26"/>
        <v>10-2025</v>
      </c>
      <c r="J261" s="86" t="str">
        <f>(YEAR(F261)&amp;TEXT(Table1[[#This Row],[Week]],"00"))</f>
        <v>202544</v>
      </c>
      <c r="K261" s="79" t="str">
        <f>_xlfn.TEXTJOIN("-",TRUE,Table1[[#This Row],[Client]],Table1[[#This Row],[Budget ID]],Table1[[#This Row],[Ressource
'[Initials']]])</f>
        <v>Novo Nordisk-250402-DS</v>
      </c>
      <c r="L261" s="19" t="s">
        <v>373</v>
      </c>
      <c r="M261" s="22"/>
      <c r="N261" s="22"/>
      <c r="O261" s="23">
        <v>9</v>
      </c>
      <c r="P261" s="117" cm="1">
        <f t="array" ref="P261">_xlfn.XLOOKUP(Table1[[#This Row],[UID
'[Helper']]],Table2[[#All],[UID
'[Helper']]],Table2[[#All],[Rate
DKK]],"Not found :(",0,1)</f>
        <v>900</v>
      </c>
      <c r="Q261" s="117">
        <f t="shared" si="27"/>
        <v>8100</v>
      </c>
      <c r="R261" s="118"/>
      <c r="S261" s="118"/>
    </row>
    <row r="262" spans="1:19" ht="13.5">
      <c r="A262" s="182" t="s">
        <v>92</v>
      </c>
      <c r="B262" s="182" t="s">
        <v>269</v>
      </c>
      <c r="C262" s="183" t="s">
        <v>361</v>
      </c>
      <c r="D262" s="49">
        <v>250402</v>
      </c>
      <c r="E262" s="182" t="s">
        <v>46</v>
      </c>
      <c r="F262" s="20">
        <v>45959</v>
      </c>
      <c r="G262" s="21">
        <f t="shared" si="25"/>
        <v>44</v>
      </c>
      <c r="H262" s="21" t="s">
        <v>369</v>
      </c>
      <c r="I262" s="79" t="str">
        <f t="shared" si="26"/>
        <v>10-2025</v>
      </c>
      <c r="J262" s="86" t="str">
        <f>(YEAR(F262)&amp;TEXT(Table1[[#This Row],[Week]],"00"))</f>
        <v>202544</v>
      </c>
      <c r="K262" s="79" t="str">
        <f>_xlfn.TEXTJOIN("-",TRUE,Table1[[#This Row],[Client]],Table1[[#This Row],[Budget ID]],Table1[[#This Row],[Ressource
'[Initials']]])</f>
        <v>Novo Nordisk-250402-GL</v>
      </c>
      <c r="L262" s="19" t="s">
        <v>398</v>
      </c>
      <c r="M262" s="22"/>
      <c r="N262" s="22"/>
      <c r="O262" s="23">
        <v>1.5</v>
      </c>
      <c r="P262" s="117" cm="1">
        <f t="array" ref="P262">_xlfn.XLOOKUP(Table1[[#This Row],[UID
'[Helper']]],Table2[[#All],[UID
'[Helper']]],Table2[[#All],[Rate
DKK]],"Not found :(",0,1)</f>
        <v>900</v>
      </c>
      <c r="Q262" s="117">
        <f t="shared" si="27"/>
        <v>1350</v>
      </c>
      <c r="R262" s="118"/>
      <c r="S262" s="118"/>
    </row>
    <row r="263" spans="1:19" ht="27">
      <c r="A263" s="18" t="s">
        <v>14</v>
      </c>
      <c r="B263" s="18" t="s">
        <v>24</v>
      </c>
      <c r="C263" s="19" t="s">
        <v>370</v>
      </c>
      <c r="D263" s="49" t="s">
        <v>218</v>
      </c>
      <c r="E263" s="18" t="s">
        <v>46</v>
      </c>
      <c r="F263" s="20">
        <v>45960</v>
      </c>
      <c r="G263" s="21">
        <f t="shared" si="25"/>
        <v>44</v>
      </c>
      <c r="H263" s="21" t="s">
        <v>22</v>
      </c>
      <c r="I263" s="79" t="str">
        <f t="shared" si="26"/>
        <v>10-2025</v>
      </c>
      <c r="J263" s="86" t="str">
        <f>(YEAR(F263)&amp;TEXT(Table1[[#This Row],[Week]],"00"))</f>
        <v>202544</v>
      </c>
      <c r="K263" s="79" t="str">
        <f>_xlfn.TEXTJOIN("-",TRUE,Table1[[#This Row],[Client]],Table1[[#This Row],[Budget ID]],Table1[[#This Row],[Ressource
'[Initials']]])</f>
        <v>Labflex-230003-1-MS</v>
      </c>
      <c r="L263" s="19" t="s">
        <v>380</v>
      </c>
      <c r="M263" s="22"/>
      <c r="N263" s="22"/>
      <c r="O263" s="23">
        <v>1.5</v>
      </c>
      <c r="P263" s="117" cm="1">
        <f t="array" ref="P263">_xlfn.XLOOKUP(Table1[[#This Row],[UID
'[Helper']]],Table2[[#All],[UID
'[Helper']]],Table2[[#All],[Rate
DKK]],"Not found :(",0,1)</f>
        <v>900</v>
      </c>
      <c r="Q263" s="117">
        <f t="shared" si="27"/>
        <v>1350</v>
      </c>
      <c r="R263" s="118"/>
      <c r="S263" s="118"/>
    </row>
    <row r="264" spans="1:19" ht="27">
      <c r="A264" s="18" t="s">
        <v>14</v>
      </c>
      <c r="B264" s="18" t="s">
        <v>24</v>
      </c>
      <c r="C264" s="19" t="s">
        <v>371</v>
      </c>
      <c r="D264" s="49" t="s">
        <v>218</v>
      </c>
      <c r="E264" s="18" t="s">
        <v>46</v>
      </c>
      <c r="F264" s="20">
        <v>45960</v>
      </c>
      <c r="G264" s="21">
        <f t="shared" si="25"/>
        <v>44</v>
      </c>
      <c r="H264" s="21" t="s">
        <v>22</v>
      </c>
      <c r="I264" s="79" t="str">
        <f t="shared" si="26"/>
        <v>10-2025</v>
      </c>
      <c r="J264" s="86" t="str">
        <f>(YEAR(F264)&amp;TEXT(Table1[[#This Row],[Week]],"00"))</f>
        <v>202544</v>
      </c>
      <c r="K264" s="79" t="str">
        <f>_xlfn.TEXTJOIN("-",TRUE,Table1[[#This Row],[Client]],Table1[[#This Row],[Budget ID]],Table1[[#This Row],[Ressource
'[Initials']]])</f>
        <v>Labflex-230003-1-MS</v>
      </c>
      <c r="L264" s="19" t="s">
        <v>380</v>
      </c>
      <c r="M264" s="22"/>
      <c r="N264" s="22"/>
      <c r="O264" s="23">
        <v>1.5</v>
      </c>
      <c r="P264" s="117" cm="1">
        <f t="array" ref="P264">_xlfn.XLOOKUP(Table1[[#This Row],[UID
'[Helper']]],Table2[[#All],[UID
'[Helper']]],Table2[[#All],[Rate
DKK]],"Not found :(",0,1)</f>
        <v>900</v>
      </c>
      <c r="Q264" s="117">
        <f t="shared" si="27"/>
        <v>1350</v>
      </c>
      <c r="R264" s="118"/>
      <c r="S264" s="118"/>
    </row>
    <row r="265" spans="1:19" ht="27">
      <c r="A265" s="18" t="s">
        <v>92</v>
      </c>
      <c r="B265" s="18" t="s">
        <v>269</v>
      </c>
      <c r="C265" s="19" t="s">
        <v>361</v>
      </c>
      <c r="D265" s="49">
        <v>250402</v>
      </c>
      <c r="E265" s="18" t="s">
        <v>46</v>
      </c>
      <c r="F265" s="20">
        <v>45960</v>
      </c>
      <c r="G265" s="21">
        <f t="shared" si="25"/>
        <v>44</v>
      </c>
      <c r="H265" s="21" t="s">
        <v>22</v>
      </c>
      <c r="I265" s="79" t="str">
        <f t="shared" si="26"/>
        <v>10-2025</v>
      </c>
      <c r="J265" s="86" t="str">
        <f>(YEAR(F265)&amp;TEXT(Table1[[#This Row],[Week]],"00"))</f>
        <v>202544</v>
      </c>
      <c r="K265" s="79" t="str">
        <f>_xlfn.TEXTJOIN("-",TRUE,Table1[[#This Row],[Client]],Table1[[#This Row],[Budget ID]],Table1[[#This Row],[Ressource
'[Initials']]])</f>
        <v>Novo Nordisk-250402-MS</v>
      </c>
      <c r="L265" s="19" t="s">
        <v>381</v>
      </c>
      <c r="M265" s="22"/>
      <c r="N265" s="22"/>
      <c r="O265" s="23">
        <v>4</v>
      </c>
      <c r="P265" s="117" cm="1">
        <f t="array" ref="P265">_xlfn.XLOOKUP(Table1[[#This Row],[UID
'[Helper']]],Table2[[#All],[UID
'[Helper']]],Table2[[#All],[Rate
DKK]],"Not found :(",0,1)</f>
        <v>900</v>
      </c>
      <c r="Q265" s="117">
        <f t="shared" ref="Q265:Q283" si="28">IFERROR(O265*P265,0)</f>
        <v>3600</v>
      </c>
      <c r="R265" s="118"/>
      <c r="S265" s="118"/>
    </row>
    <row r="266" spans="1:19" ht="13.5">
      <c r="A266" s="18" t="s">
        <v>14</v>
      </c>
      <c r="B266" s="18" t="s">
        <v>24</v>
      </c>
      <c r="C266" s="19" t="s">
        <v>71</v>
      </c>
      <c r="D266" s="49" t="s">
        <v>218</v>
      </c>
      <c r="E266" s="18" t="s">
        <v>73</v>
      </c>
      <c r="F266" s="20">
        <v>45960</v>
      </c>
      <c r="G266" s="21">
        <f t="shared" si="25"/>
        <v>44</v>
      </c>
      <c r="H266" s="21" t="s">
        <v>22</v>
      </c>
      <c r="I266" s="79" t="str">
        <f t="shared" si="26"/>
        <v>10-2025</v>
      </c>
      <c r="J266" s="86" t="str">
        <f>(YEAR(F266)&amp;TEXT(Table1[[#This Row],[Week]],"00"))</f>
        <v>202544</v>
      </c>
      <c r="K266" s="79" t="str">
        <f>_xlfn.TEXTJOIN("-",TRUE,Table1[[#This Row],[Client]],Table1[[#This Row],[Budget ID]],Table1[[#This Row],[Ressource
'[Initials']]])</f>
        <v>Labflex-230003-1-MS</v>
      </c>
      <c r="L266" s="19" t="s">
        <v>382</v>
      </c>
      <c r="M266" s="22"/>
      <c r="N266" s="22"/>
      <c r="O266" s="23">
        <v>0.5</v>
      </c>
      <c r="P266" s="117" cm="1">
        <f t="array" ref="P266">_xlfn.XLOOKUP(Table1[[#This Row],[UID
'[Helper']]],Table2[[#All],[UID
'[Helper']]],Table2[[#All],[Rate
DKK]],"Not found :(",0,1)</f>
        <v>900</v>
      </c>
      <c r="Q266" s="117">
        <f t="shared" si="28"/>
        <v>450</v>
      </c>
      <c r="R266" s="118"/>
      <c r="S266" s="118"/>
    </row>
    <row r="267" spans="1:19" ht="13.5">
      <c r="A267" s="18" t="s">
        <v>14</v>
      </c>
      <c r="B267" s="18" t="s">
        <v>24</v>
      </c>
      <c r="C267" s="19" t="s">
        <v>72</v>
      </c>
      <c r="D267" s="49" t="s">
        <v>218</v>
      </c>
      <c r="E267" s="18" t="s">
        <v>73</v>
      </c>
      <c r="F267" s="20">
        <v>45960</v>
      </c>
      <c r="G267" s="21">
        <f t="shared" si="25"/>
        <v>44</v>
      </c>
      <c r="H267" s="21" t="s">
        <v>22</v>
      </c>
      <c r="I267" s="79" t="str">
        <f t="shared" si="26"/>
        <v>10-2025</v>
      </c>
      <c r="J267" s="86" t="str">
        <f>(YEAR(F267)&amp;TEXT(Table1[[#This Row],[Week]],"00"))</f>
        <v>202544</v>
      </c>
      <c r="K267" s="79" t="str">
        <f>_xlfn.TEXTJOIN("-",TRUE,Table1[[#This Row],[Client]],Table1[[#This Row],[Budget ID]],Table1[[#This Row],[Ressource
'[Initials']]])</f>
        <v>Labflex-230003-1-MS</v>
      </c>
      <c r="L267" s="19" t="s">
        <v>382</v>
      </c>
      <c r="M267" s="22"/>
      <c r="N267" s="22"/>
      <c r="O267" s="23">
        <v>0.5</v>
      </c>
      <c r="P267" s="117" cm="1">
        <f t="array" ref="P267">_xlfn.XLOOKUP(Table1[[#This Row],[UID
'[Helper']]],Table2[[#All],[UID
'[Helper']]],Table2[[#All],[Rate
DKK]],"Not found :(",0,1)</f>
        <v>900</v>
      </c>
      <c r="Q267" s="117">
        <f t="shared" si="28"/>
        <v>450</v>
      </c>
      <c r="R267" s="118"/>
      <c r="S267" s="118"/>
    </row>
    <row r="268" spans="1:19" ht="13.5">
      <c r="A268" s="182" t="s">
        <v>107</v>
      </c>
      <c r="B268" s="182" t="s">
        <v>154</v>
      </c>
      <c r="C268" s="183"/>
      <c r="D268" s="49">
        <v>240021</v>
      </c>
      <c r="E268" s="182" t="s">
        <v>37</v>
      </c>
      <c r="F268" s="184">
        <v>45960</v>
      </c>
      <c r="G268" s="185">
        <f t="shared" si="25"/>
        <v>44</v>
      </c>
      <c r="H268" s="185" t="s">
        <v>54</v>
      </c>
      <c r="I268" s="79" t="str">
        <f t="shared" si="26"/>
        <v>10-2025</v>
      </c>
      <c r="J268" s="86" t="str">
        <f>(YEAR(F268)&amp;TEXT(Table1[[#This Row],[Week]],"00"))</f>
        <v>202544</v>
      </c>
      <c r="K268" s="79" t="str">
        <f>_xlfn.TEXTJOIN("-",TRUE,Table1[[#This Row],[Client]],Table1[[#This Row],[Budget ID]],Table1[[#This Row],[Ressource
'[Initials']]])</f>
        <v>Zystm-240021-ML</v>
      </c>
      <c r="L268" s="19"/>
      <c r="M268" s="22"/>
      <c r="N268" s="22"/>
      <c r="O268" s="23">
        <v>3.5</v>
      </c>
      <c r="P268" s="117" cm="1">
        <f t="array" ref="P268">_xlfn.XLOOKUP(Table1[[#This Row],[UID
'[Helper']]],Table2[[#All],[UID
'[Helper']]],Table2[[#All],[Rate
DKK]],"Not found :(",0,1)</f>
        <v>850</v>
      </c>
      <c r="Q268" s="117">
        <f t="shared" si="28"/>
        <v>2975</v>
      </c>
      <c r="R268" s="118"/>
      <c r="S268" s="118"/>
    </row>
    <row r="269" spans="1:19" ht="13.5">
      <c r="A269" s="182" t="s">
        <v>107</v>
      </c>
      <c r="B269" s="182" t="s">
        <v>153</v>
      </c>
      <c r="C269" s="183"/>
      <c r="D269" s="49">
        <v>240021</v>
      </c>
      <c r="E269" s="182" t="s">
        <v>37</v>
      </c>
      <c r="F269" s="184">
        <v>45960</v>
      </c>
      <c r="G269" s="185">
        <f t="shared" si="25"/>
        <v>44</v>
      </c>
      <c r="H269" s="185" t="s">
        <v>54</v>
      </c>
      <c r="I269" s="79" t="str">
        <f t="shared" si="26"/>
        <v>10-2025</v>
      </c>
      <c r="J269" s="86" t="str">
        <f>(YEAR(F269)&amp;TEXT(Table1[[#This Row],[Week]],"00"))</f>
        <v>202544</v>
      </c>
      <c r="K269" s="79" t="str">
        <f>_xlfn.TEXTJOIN("-",TRUE,Table1[[#This Row],[Client]],Table1[[#This Row],[Budget ID]],Table1[[#This Row],[Ressource
'[Initials']]])</f>
        <v>Zystm-240021-ML</v>
      </c>
      <c r="L269" s="19"/>
      <c r="M269" s="22"/>
      <c r="N269" s="22"/>
      <c r="O269" s="23">
        <v>0.5</v>
      </c>
      <c r="P269" s="117" cm="1">
        <f t="array" ref="P269">_xlfn.XLOOKUP(Table1[[#This Row],[UID
'[Helper']]],Table2[[#All],[UID
'[Helper']]],Table2[[#All],[Rate
DKK]],"Not found :(",0,1)</f>
        <v>850</v>
      </c>
      <c r="Q269" s="117">
        <f t="shared" si="28"/>
        <v>425</v>
      </c>
      <c r="R269" s="118"/>
      <c r="S269" s="118"/>
    </row>
    <row r="270" spans="1:19" ht="13.5">
      <c r="A270" s="182" t="s">
        <v>14</v>
      </c>
      <c r="B270" s="182" t="s">
        <v>24</v>
      </c>
      <c r="C270" s="183" t="s">
        <v>370</v>
      </c>
      <c r="D270" s="49" t="s">
        <v>218</v>
      </c>
      <c r="E270" s="182" t="s">
        <v>46</v>
      </c>
      <c r="F270" s="20">
        <v>45960</v>
      </c>
      <c r="G270" s="21">
        <f t="shared" si="25"/>
        <v>44</v>
      </c>
      <c r="H270" s="21" t="s">
        <v>369</v>
      </c>
      <c r="I270" s="79" t="str">
        <f t="shared" si="26"/>
        <v>10-2025</v>
      </c>
      <c r="J270" s="86" t="str">
        <f>(YEAR(F270)&amp;TEXT(Table1[[#This Row],[Week]],"00"))</f>
        <v>202544</v>
      </c>
      <c r="K270" s="79" t="str">
        <f>_xlfn.TEXTJOIN("-",TRUE,Table1[[#This Row],[Client]],Table1[[#This Row],[Budget ID]],Table1[[#This Row],[Ressource
'[Initials']]])</f>
        <v>Labflex-230003-1-GL</v>
      </c>
      <c r="L270" s="19"/>
      <c r="M270" s="22"/>
      <c r="N270" s="22"/>
      <c r="O270" s="23">
        <v>0.5</v>
      </c>
      <c r="P270" s="117" cm="1">
        <f t="array" ref="P270">_xlfn.XLOOKUP(Table1[[#This Row],[UID
'[Helper']]],Table2[[#All],[UID
'[Helper']]],Table2[[#All],[Rate
DKK]],"Not found :(",0,1)</f>
        <v>800</v>
      </c>
      <c r="Q270" s="117">
        <f t="shared" si="28"/>
        <v>400</v>
      </c>
      <c r="R270" s="118"/>
      <c r="S270" s="118"/>
    </row>
    <row r="271" spans="1:19" ht="13.5">
      <c r="A271" s="182" t="s">
        <v>14</v>
      </c>
      <c r="B271" s="182" t="s">
        <v>24</v>
      </c>
      <c r="C271" s="183" t="s">
        <v>371</v>
      </c>
      <c r="D271" s="49" t="s">
        <v>218</v>
      </c>
      <c r="E271" s="182" t="s">
        <v>46</v>
      </c>
      <c r="F271" s="20">
        <v>45960</v>
      </c>
      <c r="G271" s="21">
        <f t="shared" si="25"/>
        <v>44</v>
      </c>
      <c r="H271" s="21" t="s">
        <v>369</v>
      </c>
      <c r="I271" s="79" t="str">
        <f t="shared" si="26"/>
        <v>10-2025</v>
      </c>
      <c r="J271" s="86" t="str">
        <f>(YEAR(F271)&amp;TEXT(Table1[[#This Row],[Week]],"00"))</f>
        <v>202544</v>
      </c>
      <c r="K271" s="79" t="str">
        <f>_xlfn.TEXTJOIN("-",TRUE,Table1[[#This Row],[Client]],Table1[[#This Row],[Budget ID]],Table1[[#This Row],[Ressource
'[Initials']]])</f>
        <v>Labflex-230003-1-GL</v>
      </c>
      <c r="L271" s="19" t="s">
        <v>392</v>
      </c>
      <c r="M271" s="22"/>
      <c r="N271" s="22"/>
      <c r="O271" s="23">
        <f>4+1</f>
        <v>5</v>
      </c>
      <c r="P271" s="117" cm="1">
        <f t="array" ref="P271">_xlfn.XLOOKUP(Table1[[#This Row],[UID
'[Helper']]],Table2[[#All],[UID
'[Helper']]],Table2[[#All],[Rate
DKK]],"Not found :(",0,1)</f>
        <v>800</v>
      </c>
      <c r="Q271" s="117">
        <f t="shared" si="28"/>
        <v>4000</v>
      </c>
      <c r="R271" s="118"/>
      <c r="S271" s="189" t="s">
        <v>395</v>
      </c>
    </row>
    <row r="272" spans="1:19" ht="27">
      <c r="A272" s="42" t="s">
        <v>92</v>
      </c>
      <c r="B272" s="43" t="s">
        <v>269</v>
      </c>
      <c r="C272" s="44" t="s">
        <v>361</v>
      </c>
      <c r="D272" s="49">
        <v>250402</v>
      </c>
      <c r="E272" s="43" t="s">
        <v>46</v>
      </c>
      <c r="F272" s="20">
        <v>45960</v>
      </c>
      <c r="G272" s="21">
        <f t="shared" si="25"/>
        <v>44</v>
      </c>
      <c r="H272" s="21" t="s">
        <v>20</v>
      </c>
      <c r="I272" s="79" t="str">
        <f t="shared" si="26"/>
        <v>10-2025</v>
      </c>
      <c r="J272" s="86" t="str">
        <f>(YEAR(F272)&amp;TEXT(Table1[[#This Row],[Week]],"00"))</f>
        <v>202544</v>
      </c>
      <c r="K272" s="79" t="str">
        <f>_xlfn.TEXTJOIN("-",TRUE,Table1[[#This Row],[Client]],Table1[[#This Row],[Budget ID]],Table1[[#This Row],[Ressource
'[Initials']]])</f>
        <v>Novo Nordisk-250402-DS</v>
      </c>
      <c r="L272" s="19" t="s">
        <v>379</v>
      </c>
      <c r="M272" s="22"/>
      <c r="N272" s="22"/>
      <c r="O272" s="23">
        <v>7.5</v>
      </c>
      <c r="P272" s="117" cm="1">
        <f t="array" ref="P272">_xlfn.XLOOKUP(Table1[[#This Row],[UID
'[Helper']]],Table2[[#All],[UID
'[Helper']]],Table2[[#All],[Rate
DKK]],"Not found :(",0,1)</f>
        <v>900</v>
      </c>
      <c r="Q272" s="117">
        <f t="shared" si="28"/>
        <v>6750</v>
      </c>
      <c r="R272" s="118"/>
      <c r="S272" s="118"/>
    </row>
    <row r="273" spans="1:19" ht="27">
      <c r="A273" s="18" t="s">
        <v>14</v>
      </c>
      <c r="B273" s="18" t="s">
        <v>24</v>
      </c>
      <c r="C273" s="19" t="s">
        <v>370</v>
      </c>
      <c r="D273" s="49" t="s">
        <v>218</v>
      </c>
      <c r="E273" s="18" t="s">
        <v>46</v>
      </c>
      <c r="F273" s="20">
        <v>45961</v>
      </c>
      <c r="G273" s="21">
        <f t="shared" si="25"/>
        <v>44</v>
      </c>
      <c r="H273" s="21" t="s">
        <v>22</v>
      </c>
      <c r="I273" s="79" t="str">
        <f t="shared" si="26"/>
        <v>10-2025</v>
      </c>
      <c r="J273" s="86" t="str">
        <f>(YEAR(F273)&amp;TEXT(Table1[[#This Row],[Week]],"00"))</f>
        <v>202544</v>
      </c>
      <c r="K273" s="79" t="str">
        <f>_xlfn.TEXTJOIN("-",TRUE,Table1[[#This Row],[Client]],Table1[[#This Row],[Budget ID]],Table1[[#This Row],[Ressource
'[Initials']]])</f>
        <v>Labflex-230003-1-MS</v>
      </c>
      <c r="L273" s="19" t="s">
        <v>386</v>
      </c>
      <c r="M273" s="22"/>
      <c r="N273" s="22"/>
      <c r="O273" s="23">
        <v>1.5</v>
      </c>
      <c r="P273" s="117" cm="1">
        <f t="array" ref="P273">_xlfn.XLOOKUP(Table1[[#This Row],[UID
'[Helper']]],Table2[[#All],[UID
'[Helper']]],Table2[[#All],[Rate
DKK]],"Not found :(",0,1)</f>
        <v>900</v>
      </c>
      <c r="Q273" s="117">
        <f t="shared" si="28"/>
        <v>1350</v>
      </c>
      <c r="R273" s="118"/>
      <c r="S273" s="118"/>
    </row>
    <row r="274" spans="1:19" ht="13.5">
      <c r="A274" s="18" t="s">
        <v>14</v>
      </c>
      <c r="B274" s="18" t="s">
        <v>24</v>
      </c>
      <c r="C274" s="19" t="s">
        <v>371</v>
      </c>
      <c r="D274" s="49" t="s">
        <v>218</v>
      </c>
      <c r="E274" s="18" t="s">
        <v>46</v>
      </c>
      <c r="F274" s="20">
        <v>45961</v>
      </c>
      <c r="G274" s="21">
        <f t="shared" si="25"/>
        <v>44</v>
      </c>
      <c r="H274" s="21" t="s">
        <v>22</v>
      </c>
      <c r="I274" s="79" t="str">
        <f t="shared" si="26"/>
        <v>10-2025</v>
      </c>
      <c r="J274" s="86" t="str">
        <f>(YEAR(F274)&amp;TEXT(Table1[[#This Row],[Week]],"00"))</f>
        <v>202544</v>
      </c>
      <c r="K274" s="79" t="str">
        <f>_xlfn.TEXTJOIN("-",TRUE,Table1[[#This Row],[Client]],Table1[[#This Row],[Budget ID]],Table1[[#This Row],[Ressource
'[Initials']]])</f>
        <v>Labflex-230003-1-MS</v>
      </c>
      <c r="L274" s="19" t="s">
        <v>383</v>
      </c>
      <c r="M274" s="22"/>
      <c r="N274" s="22"/>
      <c r="O274" s="23">
        <v>1.5</v>
      </c>
      <c r="P274" s="117" cm="1">
        <f t="array" ref="P274">_xlfn.XLOOKUP(Table1[[#This Row],[UID
'[Helper']]],Table2[[#All],[UID
'[Helper']]],Table2[[#All],[Rate
DKK]],"Not found :(",0,1)</f>
        <v>900</v>
      </c>
      <c r="Q274" s="117">
        <f t="shared" si="28"/>
        <v>1350</v>
      </c>
      <c r="R274" s="118"/>
      <c r="S274" s="118"/>
    </row>
    <row r="275" spans="1:19" ht="13.5">
      <c r="A275" s="18" t="s">
        <v>92</v>
      </c>
      <c r="B275" s="18" t="s">
        <v>269</v>
      </c>
      <c r="C275" s="19" t="s">
        <v>361</v>
      </c>
      <c r="D275" s="49">
        <v>250402</v>
      </c>
      <c r="E275" s="18" t="s">
        <v>46</v>
      </c>
      <c r="F275" s="20">
        <v>45961</v>
      </c>
      <c r="G275" s="21">
        <f t="shared" si="25"/>
        <v>44</v>
      </c>
      <c r="H275" s="21" t="s">
        <v>22</v>
      </c>
      <c r="I275" s="79" t="str">
        <f t="shared" si="26"/>
        <v>10-2025</v>
      </c>
      <c r="J275" s="86" t="str">
        <f>(YEAR(F275)&amp;TEXT(Table1[[#This Row],[Week]],"00"))</f>
        <v>202544</v>
      </c>
      <c r="K275" s="79" t="str">
        <f>_xlfn.TEXTJOIN("-",TRUE,Table1[[#This Row],[Client]],Table1[[#This Row],[Budget ID]],Table1[[#This Row],[Ressource
'[Initials']]])</f>
        <v>Novo Nordisk-250402-MS</v>
      </c>
      <c r="L275" s="19" t="s">
        <v>385</v>
      </c>
      <c r="M275" s="22"/>
      <c r="N275" s="22"/>
      <c r="O275" s="23">
        <v>3.5</v>
      </c>
      <c r="P275" s="117" cm="1">
        <f t="array" ref="P275">_xlfn.XLOOKUP(Table1[[#This Row],[UID
'[Helper']]],Table2[[#All],[UID
'[Helper']]],Table2[[#All],[Rate
DKK]],"Not found :(",0,1)</f>
        <v>900</v>
      </c>
      <c r="Q275" s="117">
        <f t="shared" si="28"/>
        <v>3150</v>
      </c>
      <c r="R275" s="118"/>
      <c r="S275" s="118"/>
    </row>
    <row r="276" spans="1:19" ht="13.5">
      <c r="A276" s="18" t="s">
        <v>14</v>
      </c>
      <c r="B276" s="18" t="s">
        <v>24</v>
      </c>
      <c r="C276" s="19" t="s">
        <v>277</v>
      </c>
      <c r="D276" s="49" t="s">
        <v>218</v>
      </c>
      <c r="E276" s="18" t="s">
        <v>79</v>
      </c>
      <c r="F276" s="20">
        <v>45961</v>
      </c>
      <c r="G276" s="21">
        <f t="shared" si="25"/>
        <v>44</v>
      </c>
      <c r="H276" s="21" t="s">
        <v>22</v>
      </c>
      <c r="I276" s="79" t="str">
        <f t="shared" si="26"/>
        <v>10-2025</v>
      </c>
      <c r="J276" s="86" t="str">
        <f>(YEAR(F276)&amp;TEXT(Table1[[#This Row],[Week]],"00"))</f>
        <v>202544</v>
      </c>
      <c r="K276" s="79" t="str">
        <f>_xlfn.TEXTJOIN("-",TRUE,Table1[[#This Row],[Client]],Table1[[#This Row],[Budget ID]],Table1[[#This Row],[Ressource
'[Initials']]])</f>
        <v>Labflex-230003-1-MS</v>
      </c>
      <c r="L276" s="19" t="s">
        <v>384</v>
      </c>
      <c r="M276" s="22"/>
      <c r="N276" s="22"/>
      <c r="O276" s="23">
        <v>0.5</v>
      </c>
      <c r="P276" s="117" cm="1">
        <f t="array" ref="P276">_xlfn.XLOOKUP(Table1[[#This Row],[UID
'[Helper']]],Table2[[#All],[UID
'[Helper']]],Table2[[#All],[Rate
DKK]],"Not found :(",0,1)</f>
        <v>900</v>
      </c>
      <c r="Q276" s="117">
        <f t="shared" si="28"/>
        <v>450</v>
      </c>
      <c r="R276" s="118"/>
      <c r="S276" s="118"/>
    </row>
    <row r="277" spans="1:19" ht="13.5">
      <c r="A277" s="18" t="s">
        <v>14</v>
      </c>
      <c r="B277" s="18" t="s">
        <v>24</v>
      </c>
      <c r="C277" s="19" t="s">
        <v>273</v>
      </c>
      <c r="D277" s="49" t="s">
        <v>218</v>
      </c>
      <c r="E277" s="18" t="s">
        <v>79</v>
      </c>
      <c r="F277" s="20">
        <v>45961</v>
      </c>
      <c r="G277" s="21">
        <f t="shared" si="25"/>
        <v>44</v>
      </c>
      <c r="H277" s="21" t="s">
        <v>22</v>
      </c>
      <c r="I277" s="79" t="str">
        <f t="shared" si="26"/>
        <v>10-2025</v>
      </c>
      <c r="J277" s="86" t="str">
        <f>(YEAR(F277)&amp;TEXT(Table1[[#This Row],[Week]],"00"))</f>
        <v>202544</v>
      </c>
      <c r="K277" s="79" t="str">
        <f>_xlfn.TEXTJOIN("-",TRUE,Table1[[#This Row],[Client]],Table1[[#This Row],[Budget ID]],Table1[[#This Row],[Ressource
'[Initials']]])</f>
        <v>Labflex-230003-1-MS</v>
      </c>
      <c r="L277" s="19" t="s">
        <v>384</v>
      </c>
      <c r="M277" s="22"/>
      <c r="N277" s="22"/>
      <c r="O277" s="23">
        <v>0.5</v>
      </c>
      <c r="P277" s="117" cm="1">
        <f t="array" ref="P277">_xlfn.XLOOKUP(Table1[[#This Row],[UID
'[Helper']]],Table2[[#All],[UID
'[Helper']]],Table2[[#All],[Rate
DKK]],"Not found :(",0,1)</f>
        <v>900</v>
      </c>
      <c r="Q277" s="117">
        <f t="shared" si="28"/>
        <v>450</v>
      </c>
      <c r="R277" s="118"/>
      <c r="S277" s="118"/>
    </row>
    <row r="278" spans="1:19" ht="13.5">
      <c r="A278" s="18" t="s">
        <v>14</v>
      </c>
      <c r="B278" s="18" t="s">
        <v>24</v>
      </c>
      <c r="C278" s="19" t="s">
        <v>268</v>
      </c>
      <c r="D278" s="49" t="s">
        <v>218</v>
      </c>
      <c r="E278" s="18" t="s">
        <v>79</v>
      </c>
      <c r="F278" s="20">
        <v>45961</v>
      </c>
      <c r="G278" s="21">
        <f t="shared" si="25"/>
        <v>44</v>
      </c>
      <c r="H278" s="21" t="s">
        <v>22</v>
      </c>
      <c r="I278" s="79" t="str">
        <f t="shared" si="26"/>
        <v>10-2025</v>
      </c>
      <c r="J278" s="86" t="str">
        <f>(YEAR(F278)&amp;TEXT(Table1[[#This Row],[Week]],"00"))</f>
        <v>202544</v>
      </c>
      <c r="K278" s="79" t="str">
        <f>_xlfn.TEXTJOIN("-",TRUE,Table1[[#This Row],[Client]],Table1[[#This Row],[Budget ID]],Table1[[#This Row],[Ressource
'[Initials']]])</f>
        <v>Labflex-230003-1-MS</v>
      </c>
      <c r="L278" s="19" t="s">
        <v>384</v>
      </c>
      <c r="M278" s="22"/>
      <c r="N278" s="22"/>
      <c r="O278" s="23">
        <v>0.5</v>
      </c>
      <c r="P278" s="117" cm="1">
        <f t="array" ref="P278">_xlfn.XLOOKUP(Table1[[#This Row],[UID
'[Helper']]],Table2[[#All],[UID
'[Helper']]],Table2[[#All],[Rate
DKK]],"Not found :(",0,1)</f>
        <v>900</v>
      </c>
      <c r="Q278" s="117">
        <f t="shared" si="28"/>
        <v>450</v>
      </c>
      <c r="R278" s="118"/>
      <c r="S278" s="118"/>
    </row>
    <row r="279" spans="1:19" ht="13.5">
      <c r="A279" s="18" t="s">
        <v>14</v>
      </c>
      <c r="B279" s="18" t="s">
        <v>24</v>
      </c>
      <c r="C279" s="19" t="s">
        <v>71</v>
      </c>
      <c r="D279" s="49" t="s">
        <v>218</v>
      </c>
      <c r="E279" s="18" t="s">
        <v>37</v>
      </c>
      <c r="F279" s="20">
        <v>45961</v>
      </c>
      <c r="G279" s="21">
        <f t="shared" si="25"/>
        <v>44</v>
      </c>
      <c r="H279" s="21" t="s">
        <v>22</v>
      </c>
      <c r="I279" s="79" t="str">
        <f t="shared" si="26"/>
        <v>10-2025</v>
      </c>
      <c r="J279" s="86" t="str">
        <f>(YEAR(F279)&amp;TEXT(Table1[[#This Row],[Week]],"00"))</f>
        <v>202544</v>
      </c>
      <c r="K279" s="79" t="str">
        <f>_xlfn.TEXTJOIN("-",TRUE,Table1[[#This Row],[Client]],Table1[[#This Row],[Budget ID]],Table1[[#This Row],[Ressource
'[Initials']]])</f>
        <v>Labflex-230003-1-MS</v>
      </c>
      <c r="L279" s="19" t="s">
        <v>383</v>
      </c>
      <c r="M279" s="22"/>
      <c r="N279" s="22"/>
      <c r="O279" s="23">
        <v>0.5</v>
      </c>
      <c r="P279" s="117" cm="1">
        <f t="array" ref="P279">_xlfn.XLOOKUP(Table1[[#This Row],[UID
'[Helper']]],Table2[[#All],[UID
'[Helper']]],Table2[[#All],[Rate
DKK]],"Not found :(",0,1)</f>
        <v>900</v>
      </c>
      <c r="Q279" s="117">
        <f t="shared" si="28"/>
        <v>450</v>
      </c>
      <c r="R279" s="118"/>
      <c r="S279" s="118"/>
    </row>
    <row r="280" spans="1:19" ht="13.5">
      <c r="A280" s="18" t="s">
        <v>14</v>
      </c>
      <c r="B280" s="18" t="s">
        <v>24</v>
      </c>
      <c r="C280" s="19" t="s">
        <v>72</v>
      </c>
      <c r="D280" s="49" t="s">
        <v>218</v>
      </c>
      <c r="E280" s="18" t="s">
        <v>37</v>
      </c>
      <c r="F280" s="20">
        <v>45961</v>
      </c>
      <c r="G280" s="21">
        <f t="shared" si="25"/>
        <v>44</v>
      </c>
      <c r="H280" s="21" t="s">
        <v>22</v>
      </c>
      <c r="I280" s="79" t="str">
        <f t="shared" si="26"/>
        <v>10-2025</v>
      </c>
      <c r="J280" s="86" t="str">
        <f>(YEAR(F280)&amp;TEXT(Table1[[#This Row],[Week]],"00"))</f>
        <v>202544</v>
      </c>
      <c r="K280" s="79" t="str">
        <f>_xlfn.TEXTJOIN("-",TRUE,Table1[[#This Row],[Client]],Table1[[#This Row],[Budget ID]],Table1[[#This Row],[Ressource
'[Initials']]])</f>
        <v>Labflex-230003-1-MS</v>
      </c>
      <c r="L280" s="19" t="s">
        <v>383</v>
      </c>
      <c r="M280" s="22"/>
      <c r="N280" s="22"/>
      <c r="O280" s="23">
        <v>1</v>
      </c>
      <c r="P280" s="117" cm="1">
        <f t="array" ref="P280">_xlfn.XLOOKUP(Table1[[#This Row],[UID
'[Helper']]],Table2[[#All],[UID
'[Helper']]],Table2[[#All],[Rate
DKK]],"Not found :(",0,1)</f>
        <v>900</v>
      </c>
      <c r="Q280" s="117">
        <f t="shared" si="28"/>
        <v>900</v>
      </c>
      <c r="R280" s="118"/>
      <c r="S280" s="118"/>
    </row>
    <row r="281" spans="1:19" ht="13.5">
      <c r="A281" s="182" t="s">
        <v>14</v>
      </c>
      <c r="B281" s="182" t="s">
        <v>24</v>
      </c>
      <c r="C281" s="183" t="s">
        <v>371</v>
      </c>
      <c r="D281" s="49" t="s">
        <v>218</v>
      </c>
      <c r="E281" s="182" t="s">
        <v>46</v>
      </c>
      <c r="F281" s="20">
        <v>45961</v>
      </c>
      <c r="G281" s="21">
        <f t="shared" si="25"/>
        <v>44</v>
      </c>
      <c r="H281" s="21" t="s">
        <v>369</v>
      </c>
      <c r="I281" s="79" t="str">
        <f t="shared" si="26"/>
        <v>10-2025</v>
      </c>
      <c r="J281" s="86" t="str">
        <f>(YEAR(F281)&amp;TEXT(Table1[[#This Row],[Week]],"00"))</f>
        <v>202544</v>
      </c>
      <c r="K281" s="79" t="str">
        <f>_xlfn.TEXTJOIN("-",TRUE,Table1[[#This Row],[Client]],Table1[[#This Row],[Budget ID]],Table1[[#This Row],[Ressource
'[Initials']]])</f>
        <v>Labflex-230003-1-GL</v>
      </c>
      <c r="L281" s="19"/>
      <c r="M281" s="22"/>
      <c r="N281" s="22"/>
      <c r="O281" s="23">
        <f>0.5+2.5</f>
        <v>3</v>
      </c>
      <c r="P281" s="117" cm="1">
        <f t="array" ref="P281">_xlfn.XLOOKUP(Table1[[#This Row],[UID
'[Helper']]],Table2[[#All],[UID
'[Helper']]],Table2[[#All],[Rate
DKK]],"Not found :(",0,1)</f>
        <v>800</v>
      </c>
      <c r="Q281" s="117">
        <f t="shared" si="28"/>
        <v>2400</v>
      </c>
      <c r="R281" s="118"/>
      <c r="S281" s="189" t="s">
        <v>393</v>
      </c>
    </row>
    <row r="282" spans="1:19" ht="13.5">
      <c r="A282" s="18" t="s">
        <v>92</v>
      </c>
      <c r="B282" s="18" t="s">
        <v>269</v>
      </c>
      <c r="C282" s="19" t="s">
        <v>361</v>
      </c>
      <c r="D282" s="49">
        <v>250402</v>
      </c>
      <c r="E282" s="18" t="s">
        <v>46</v>
      </c>
      <c r="F282" s="20">
        <v>45961</v>
      </c>
      <c r="G282" s="21">
        <f t="shared" si="25"/>
        <v>44</v>
      </c>
      <c r="H282" s="21" t="s">
        <v>20</v>
      </c>
      <c r="I282" s="79" t="str">
        <f t="shared" si="26"/>
        <v>10-2025</v>
      </c>
      <c r="J282" s="86" t="str">
        <f>(YEAR(F282)&amp;TEXT(Table1[[#This Row],[Week]],"00"))</f>
        <v>202544</v>
      </c>
      <c r="K282" s="79" t="str">
        <f>_xlfn.TEXTJOIN("-",TRUE,Table1[[#This Row],[Client]],Table1[[#This Row],[Budget ID]],Table1[[#This Row],[Ressource
'[Initials']]])</f>
        <v>Novo Nordisk-250402-DS</v>
      </c>
      <c r="L282" s="19" t="s">
        <v>387</v>
      </c>
      <c r="M282" s="22"/>
      <c r="N282" s="22"/>
      <c r="O282" s="23">
        <v>8</v>
      </c>
      <c r="P282" s="117" cm="1">
        <f t="array" ref="P282">_xlfn.XLOOKUP(Table1[[#This Row],[UID
'[Helper']]],Table2[[#All],[UID
'[Helper']]],Table2[[#All],[Rate
DKK]],"Not found :(",0,1)</f>
        <v>900</v>
      </c>
      <c r="Q282" s="117">
        <f t="shared" si="28"/>
        <v>7200</v>
      </c>
      <c r="R282" s="118"/>
      <c r="S282" s="118"/>
    </row>
    <row r="283" spans="1:19" ht="13.5">
      <c r="A283" s="182" t="s">
        <v>92</v>
      </c>
      <c r="B283" s="182" t="s">
        <v>269</v>
      </c>
      <c r="C283" s="183" t="s">
        <v>361</v>
      </c>
      <c r="D283" s="49">
        <v>250402</v>
      </c>
      <c r="E283" s="182" t="s">
        <v>46</v>
      </c>
      <c r="F283" s="20">
        <v>45961</v>
      </c>
      <c r="G283" s="21">
        <f t="shared" si="25"/>
        <v>44</v>
      </c>
      <c r="H283" s="21" t="s">
        <v>369</v>
      </c>
      <c r="I283" s="79" t="str">
        <f t="shared" si="26"/>
        <v>10-2025</v>
      </c>
      <c r="J283" s="86" t="str">
        <f>(YEAR(F283)&amp;TEXT(Table1[[#This Row],[Week]],"00"))</f>
        <v>202544</v>
      </c>
      <c r="K283" s="79" t="str">
        <f>_xlfn.TEXTJOIN("-",TRUE,Table1[[#This Row],[Client]],Table1[[#This Row],[Budget ID]],Table1[[#This Row],[Ressource
'[Initials']]])</f>
        <v>Novo Nordisk-250402-GL</v>
      </c>
      <c r="L283" s="19" t="s">
        <v>399</v>
      </c>
      <c r="M283" s="22"/>
      <c r="N283" s="22"/>
      <c r="O283" s="23">
        <v>8</v>
      </c>
      <c r="P283" s="117" cm="1">
        <f t="array" ref="P283">_xlfn.XLOOKUP(Table1[[#This Row],[UID
'[Helper']]],Table2[[#All],[UID
'[Helper']]],Table2[[#All],[Rate
DKK]],"Not found :(",0,1)</f>
        <v>900</v>
      </c>
      <c r="Q283" s="117">
        <f t="shared" si="28"/>
        <v>7200</v>
      </c>
      <c r="R283" s="118"/>
      <c r="S283" s="118" t="s">
        <v>394</v>
      </c>
    </row>
    <row r="284" spans="1:19" ht="13.5">
      <c r="A284" s="18" t="s">
        <v>92</v>
      </c>
      <c r="B284" s="18" t="s">
        <v>269</v>
      </c>
      <c r="C284" s="183" t="s">
        <v>401</v>
      </c>
      <c r="D284" s="49">
        <v>250402</v>
      </c>
      <c r="E284" s="18" t="s">
        <v>46</v>
      </c>
      <c r="F284" s="20">
        <v>45963</v>
      </c>
      <c r="G284" s="21">
        <f t="shared" ref="G284:G287" si="29">WEEKNUM($F284,21)</f>
        <v>44</v>
      </c>
      <c r="H284" s="21" t="s">
        <v>20</v>
      </c>
      <c r="I284" s="79" t="str">
        <f t="shared" ref="I284:I287" si="30">(MONTH(F284)&amp;"-"&amp;YEAR(F284))</f>
        <v>11-2025</v>
      </c>
      <c r="J284" s="86" t="str">
        <f>(YEAR(F284)&amp;TEXT(Table1[[#This Row],[Week]],"00"))</f>
        <v>202544</v>
      </c>
      <c r="K284" s="79" t="str">
        <f>_xlfn.TEXTJOIN("-",TRUE,Table1[[#This Row],[Client]],Table1[[#This Row],[Budget ID]],Table1[[#This Row],[Ressource
'[Initials']]])</f>
        <v>Novo Nordisk-250402-DS</v>
      </c>
      <c r="L284" s="19" t="s">
        <v>388</v>
      </c>
      <c r="M284" s="22"/>
      <c r="N284" s="22"/>
      <c r="O284" s="23">
        <v>2</v>
      </c>
      <c r="P284" s="117" cm="1">
        <f t="array" ref="P284">_xlfn.XLOOKUP(Table1[[#This Row],[UID
'[Helper']]],Table2[[#All],[UID
'[Helper']]],Table2[[#All],[Rate
DKK]],"Not found :(",0,1)</f>
        <v>900</v>
      </c>
      <c r="Q284" s="117">
        <f t="shared" ref="Q284:Q287" si="31">IFERROR(O284*P284,0)</f>
        <v>1800</v>
      </c>
      <c r="R284" s="118"/>
      <c r="S284" s="118"/>
    </row>
    <row r="285" spans="1:19" ht="13.5">
      <c r="A285" s="182" t="s">
        <v>92</v>
      </c>
      <c r="B285" s="182" t="s">
        <v>269</v>
      </c>
      <c r="C285" s="183" t="s">
        <v>401</v>
      </c>
      <c r="D285" s="49">
        <v>250402</v>
      </c>
      <c r="E285" s="182" t="s">
        <v>46</v>
      </c>
      <c r="F285" s="20">
        <v>45964</v>
      </c>
      <c r="G285" s="21">
        <f t="shared" si="29"/>
        <v>45</v>
      </c>
      <c r="H285" s="21" t="s">
        <v>369</v>
      </c>
      <c r="I285" s="79" t="str">
        <f t="shared" si="30"/>
        <v>11-2025</v>
      </c>
      <c r="J285" s="86" t="str">
        <f>(YEAR(F285)&amp;TEXT(Table1[[#This Row],[Week]],"00"))</f>
        <v>202545</v>
      </c>
      <c r="K285" s="79" t="str">
        <f>_xlfn.TEXTJOIN("-",TRUE,Table1[[#This Row],[Client]],Table1[[#This Row],[Budget ID]],Table1[[#This Row],[Ressource
'[Initials']]])</f>
        <v>Novo Nordisk-250402-GL</v>
      </c>
      <c r="L285" s="19" t="s">
        <v>402</v>
      </c>
      <c r="M285" s="22"/>
      <c r="N285" s="22"/>
      <c r="O285" s="23">
        <v>9.5</v>
      </c>
      <c r="P285" s="117" cm="1">
        <f t="array" ref="P285">_xlfn.XLOOKUP(Table1[[#This Row],[UID
'[Helper']]],Table2[[#All],[UID
'[Helper']]],Table2[[#All],[Rate
DKK]],"Not found :(",0,1)</f>
        <v>900</v>
      </c>
      <c r="Q285" s="117">
        <f t="shared" si="31"/>
        <v>8550</v>
      </c>
      <c r="R285" s="118"/>
      <c r="S285" s="118" t="s">
        <v>365</v>
      </c>
    </row>
    <row r="286" spans="1:19" ht="13.5">
      <c r="A286" s="18" t="s">
        <v>14</v>
      </c>
      <c r="B286" s="18" t="s">
        <v>24</v>
      </c>
      <c r="C286" s="19" t="s">
        <v>71</v>
      </c>
      <c r="D286" s="49" t="s">
        <v>218</v>
      </c>
      <c r="E286" s="18" t="s">
        <v>73</v>
      </c>
      <c r="F286" s="20">
        <v>45964</v>
      </c>
      <c r="G286" s="21">
        <f t="shared" si="29"/>
        <v>45</v>
      </c>
      <c r="H286" s="21" t="s">
        <v>22</v>
      </c>
      <c r="I286" s="79" t="str">
        <f t="shared" si="30"/>
        <v>11-2025</v>
      </c>
      <c r="J286" s="86" t="str">
        <f>(YEAR(F286)&amp;TEXT(Table1[[#This Row],[Week]],"00"))</f>
        <v>202545</v>
      </c>
      <c r="K286" s="79" t="str">
        <f>_xlfn.TEXTJOIN("-",TRUE,Table1[[#This Row],[Client]],Table1[[#This Row],[Budget ID]],Table1[[#This Row],[Ressource
'[Initials']]])</f>
        <v>Labflex-230003-1-MS</v>
      </c>
      <c r="L286" s="19" t="s">
        <v>390</v>
      </c>
      <c r="M286" s="22"/>
      <c r="N286" s="22"/>
      <c r="O286" s="23">
        <v>0.5</v>
      </c>
      <c r="P286" s="117" cm="1">
        <f t="array" ref="P286">_xlfn.XLOOKUP(Table1[[#This Row],[UID
'[Helper']]],Table2[[#All],[UID
'[Helper']]],Table2[[#All],[Rate
DKK]],"Not found :(",0,1)</f>
        <v>900</v>
      </c>
      <c r="Q286" s="117">
        <f t="shared" si="31"/>
        <v>450</v>
      </c>
      <c r="R286" s="118"/>
      <c r="S286" s="118"/>
    </row>
    <row r="287" spans="1:19" ht="13.5">
      <c r="A287" s="18" t="s">
        <v>14</v>
      </c>
      <c r="B287" s="18" t="s">
        <v>24</v>
      </c>
      <c r="C287" s="19" t="s">
        <v>72</v>
      </c>
      <c r="D287" s="49" t="s">
        <v>218</v>
      </c>
      <c r="E287" s="18" t="s">
        <v>73</v>
      </c>
      <c r="F287" s="20">
        <v>45964</v>
      </c>
      <c r="G287" s="21">
        <f t="shared" si="29"/>
        <v>45</v>
      </c>
      <c r="H287" s="21" t="s">
        <v>22</v>
      </c>
      <c r="I287" s="79" t="str">
        <f t="shared" si="30"/>
        <v>11-2025</v>
      </c>
      <c r="J287" s="86" t="str">
        <f>(YEAR(F287)&amp;TEXT(Table1[[#This Row],[Week]],"00"))</f>
        <v>202545</v>
      </c>
      <c r="K287" s="79" t="str">
        <f>_xlfn.TEXTJOIN("-",TRUE,Table1[[#This Row],[Client]],Table1[[#This Row],[Budget ID]],Table1[[#This Row],[Ressource
'[Initials']]])</f>
        <v>Labflex-230003-1-MS</v>
      </c>
      <c r="L287" s="19" t="s">
        <v>390</v>
      </c>
      <c r="M287" s="22"/>
      <c r="N287" s="22"/>
      <c r="O287" s="23">
        <v>0.5</v>
      </c>
      <c r="P287" s="117" cm="1">
        <f t="array" ref="P287">_xlfn.XLOOKUP(Table1[[#This Row],[UID
'[Helper']]],Table2[[#All],[UID
'[Helper']]],Table2[[#All],[Rate
DKK]],"Not found :(",0,1)</f>
        <v>900</v>
      </c>
      <c r="Q287" s="117">
        <f t="shared" si="31"/>
        <v>450</v>
      </c>
      <c r="R287" s="118"/>
      <c r="S287" s="118"/>
    </row>
    <row r="288" spans="1:19" ht="13.5">
      <c r="A288" s="18" t="s">
        <v>259</v>
      </c>
      <c r="B288" s="18" t="s">
        <v>260</v>
      </c>
      <c r="C288" s="19"/>
      <c r="D288" s="49">
        <v>250401</v>
      </c>
      <c r="E288" s="18" t="s">
        <v>46</v>
      </c>
      <c r="F288" s="20">
        <v>45964</v>
      </c>
      <c r="G288" s="21">
        <f t="shared" ref="G288:G291" si="32">WEEKNUM($F288,21)</f>
        <v>45</v>
      </c>
      <c r="H288" s="21" t="s">
        <v>22</v>
      </c>
      <c r="I288" s="79" t="str">
        <f t="shared" ref="I288:I291" si="33">(MONTH(F288)&amp;"-"&amp;YEAR(F288))</f>
        <v>11-2025</v>
      </c>
      <c r="J288" s="86" t="str">
        <f>(YEAR(F288)&amp;TEXT(Table1[[#This Row],[Week]],"00"))</f>
        <v>202545</v>
      </c>
      <c r="K288" s="79" t="str">
        <f>_xlfn.TEXTJOIN("-",TRUE,Table1[[#This Row],[Client]],Table1[[#This Row],[Budget ID]],Table1[[#This Row],[Ressource
'[Initials']]])</f>
        <v>DLF Seeds-250401-MS</v>
      </c>
      <c r="L288" s="19" t="s">
        <v>389</v>
      </c>
      <c r="M288" s="22"/>
      <c r="N288" s="22"/>
      <c r="O288" s="23">
        <v>7</v>
      </c>
      <c r="P288" s="117" cm="1">
        <f t="array" ref="P288">_xlfn.XLOOKUP(Table1[[#This Row],[UID
'[Helper']]],Table2[[#All],[UID
'[Helper']]],Table2[[#All],[Rate
DKK]],"Not found :(",0,1)</f>
        <v>900</v>
      </c>
      <c r="Q288" s="117">
        <f t="shared" ref="Q288:Q291" si="34">IFERROR(O288*P288,0)</f>
        <v>6300</v>
      </c>
      <c r="R288" s="118"/>
      <c r="S288" s="118"/>
    </row>
    <row r="289" spans="1:19" ht="13.5">
      <c r="A289" s="42" t="s">
        <v>14</v>
      </c>
      <c r="B289" s="43" t="s">
        <v>24</v>
      </c>
      <c r="C289" s="44" t="s">
        <v>71</v>
      </c>
      <c r="D289" s="49" t="s">
        <v>218</v>
      </c>
      <c r="E289" s="18" t="s">
        <v>37</v>
      </c>
      <c r="F289" s="20">
        <v>45964</v>
      </c>
      <c r="G289" s="21">
        <f t="shared" si="32"/>
        <v>45</v>
      </c>
      <c r="H289" s="21" t="s">
        <v>22</v>
      </c>
      <c r="I289" s="79" t="str">
        <f t="shared" si="33"/>
        <v>11-2025</v>
      </c>
      <c r="J289" s="86" t="str">
        <f>(YEAR(F289)&amp;TEXT(Table1[[#This Row],[Week]],"00"))</f>
        <v>202545</v>
      </c>
      <c r="K289" s="79" t="str">
        <f>_xlfn.TEXTJOIN("-",TRUE,Table1[[#This Row],[Client]],Table1[[#This Row],[Budget ID]],Table1[[#This Row],[Ressource
'[Initials']]])</f>
        <v>Labflex-230003-1-MS</v>
      </c>
      <c r="L289" s="19" t="s">
        <v>391</v>
      </c>
      <c r="M289" s="22"/>
      <c r="N289" s="22"/>
      <c r="O289" s="23">
        <v>0.5</v>
      </c>
      <c r="P289" s="117" cm="1">
        <f t="array" ref="P289">_xlfn.XLOOKUP(Table1[[#This Row],[UID
'[Helper']]],Table2[[#All],[UID
'[Helper']]],Table2[[#All],[Rate
DKK]],"Not found :(",0,1)</f>
        <v>900</v>
      </c>
      <c r="Q289" s="117">
        <f t="shared" si="34"/>
        <v>450</v>
      </c>
      <c r="R289" s="118"/>
      <c r="S289" s="118"/>
    </row>
    <row r="290" spans="1:19" ht="13.5">
      <c r="A290" s="18" t="s">
        <v>14</v>
      </c>
      <c r="B290" s="18" t="s">
        <v>24</v>
      </c>
      <c r="C290" s="19" t="s">
        <v>72</v>
      </c>
      <c r="D290" s="49" t="s">
        <v>218</v>
      </c>
      <c r="E290" s="18" t="s">
        <v>37</v>
      </c>
      <c r="F290" s="20">
        <v>45964</v>
      </c>
      <c r="G290" s="21">
        <f t="shared" si="32"/>
        <v>45</v>
      </c>
      <c r="H290" s="21" t="s">
        <v>22</v>
      </c>
      <c r="I290" s="79" t="str">
        <f t="shared" si="33"/>
        <v>11-2025</v>
      </c>
      <c r="J290" s="86" t="str">
        <f>(YEAR(F290)&amp;TEXT(Table1[[#This Row],[Week]],"00"))</f>
        <v>202545</v>
      </c>
      <c r="K290" s="79" t="str">
        <f>_xlfn.TEXTJOIN("-",TRUE,Table1[[#This Row],[Client]],Table1[[#This Row],[Budget ID]],Table1[[#This Row],[Ressource
'[Initials']]])</f>
        <v>Labflex-230003-1-MS</v>
      </c>
      <c r="L290" s="19" t="s">
        <v>391</v>
      </c>
      <c r="M290" s="22"/>
      <c r="N290" s="22"/>
      <c r="O290" s="23">
        <v>0.5</v>
      </c>
      <c r="P290" s="117" cm="1">
        <f t="array" ref="P290">_xlfn.XLOOKUP(Table1[[#This Row],[UID
'[Helper']]],Table2[[#All],[UID
'[Helper']]],Table2[[#All],[Rate
DKK]],"Not found :(",0,1)</f>
        <v>900</v>
      </c>
      <c r="Q290" s="117">
        <f t="shared" si="34"/>
        <v>450</v>
      </c>
      <c r="R290" s="118"/>
      <c r="S290" s="118"/>
    </row>
    <row r="291" spans="1:19" ht="13.5">
      <c r="A291" s="18" t="s">
        <v>14</v>
      </c>
      <c r="B291" s="18" t="s">
        <v>24</v>
      </c>
      <c r="C291" s="19" t="s">
        <v>370</v>
      </c>
      <c r="D291" s="49" t="s">
        <v>218</v>
      </c>
      <c r="E291" s="18" t="s">
        <v>46</v>
      </c>
      <c r="F291" s="20">
        <v>45964</v>
      </c>
      <c r="G291" s="21">
        <f t="shared" si="32"/>
        <v>45</v>
      </c>
      <c r="H291" s="21" t="s">
        <v>22</v>
      </c>
      <c r="I291" s="79" t="str">
        <f t="shared" si="33"/>
        <v>11-2025</v>
      </c>
      <c r="J291" s="86" t="str">
        <f>(YEAR(F291)&amp;TEXT(Table1[[#This Row],[Week]],"00"))</f>
        <v>202545</v>
      </c>
      <c r="K291" s="79" t="str">
        <f>_xlfn.TEXTJOIN("-",TRUE,Table1[[#This Row],[Client]],Table1[[#This Row],[Budget ID]],Table1[[#This Row],[Ressource
'[Initials']]])</f>
        <v>Labflex-230003-1-MS</v>
      </c>
      <c r="L291" s="19" t="s">
        <v>391</v>
      </c>
      <c r="M291" s="22"/>
      <c r="N291" s="22"/>
      <c r="O291" s="23">
        <v>0.5</v>
      </c>
      <c r="P291" s="117" cm="1">
        <f t="array" ref="P291">_xlfn.XLOOKUP(Table1[[#This Row],[UID
'[Helper']]],Table2[[#All],[UID
'[Helper']]],Table2[[#All],[Rate
DKK]],"Not found :(",0,1)</f>
        <v>900</v>
      </c>
      <c r="Q291" s="117">
        <f t="shared" si="34"/>
        <v>450</v>
      </c>
      <c r="R291" s="118"/>
      <c r="S291" s="118"/>
    </row>
    <row r="292" spans="1:19" ht="13.5">
      <c r="A292" s="18" t="s">
        <v>14</v>
      </c>
      <c r="B292" s="18" t="s">
        <v>24</v>
      </c>
      <c r="C292" s="19" t="s">
        <v>72</v>
      </c>
      <c r="D292" s="71" t="s">
        <v>218</v>
      </c>
      <c r="E292" s="18" t="s">
        <v>37</v>
      </c>
      <c r="F292" s="20">
        <v>45975</v>
      </c>
      <c r="G292" s="21">
        <f t="shared" ref="G292:G322" si="35">WEEKNUM($F292,21)</f>
        <v>46</v>
      </c>
      <c r="H292" s="21" t="s">
        <v>22</v>
      </c>
      <c r="I292" s="79" t="str">
        <f t="shared" ref="I292:I322" si="36">(MONTH(F292)&amp;"-"&amp;YEAR(F292))</f>
        <v>11-2025</v>
      </c>
      <c r="J292" s="86" t="str">
        <f>(YEAR(F292)&amp;TEXT(Table1[[#This Row],[Week]],"00"))</f>
        <v>202546</v>
      </c>
      <c r="K292" s="79" t="str">
        <f>_xlfn.TEXTJOIN("-",TRUE,Table1[[#This Row],[Client]],Table1[[#This Row],[Budget ID]],Table1[[#This Row],[Ressource
'[Initials']]])</f>
        <v>Labflex-230003-1-MS</v>
      </c>
      <c r="L292" s="19" t="s">
        <v>403</v>
      </c>
      <c r="M292" s="22"/>
      <c r="N292" s="22"/>
      <c r="O292" s="23">
        <v>1</v>
      </c>
      <c r="P292" s="117" cm="1">
        <f t="array" ref="P292">_xlfn.XLOOKUP(Table1[[#This Row],[UID
'[Helper']]],Table2[[#All],[UID
'[Helper']]],Table2[[#All],[Rate
DKK]],"Not found :(",0,1)</f>
        <v>900</v>
      </c>
      <c r="Q292" s="117">
        <f t="shared" ref="Q292:Q322" si="37">IFERROR(O292*P292,0)</f>
        <v>900</v>
      </c>
      <c r="R292" s="118"/>
      <c r="S292" s="118"/>
    </row>
    <row r="293" spans="1:19" ht="13.5">
      <c r="A293" s="18" t="s">
        <v>14</v>
      </c>
      <c r="B293" s="18" t="s">
        <v>24</v>
      </c>
      <c r="C293" s="19" t="s">
        <v>71</v>
      </c>
      <c r="D293" s="49" t="s">
        <v>218</v>
      </c>
      <c r="E293" s="18" t="s">
        <v>73</v>
      </c>
      <c r="F293" s="20">
        <v>45975</v>
      </c>
      <c r="G293" s="21">
        <f t="shared" si="35"/>
        <v>46</v>
      </c>
      <c r="H293" s="21" t="s">
        <v>22</v>
      </c>
      <c r="I293" s="79" t="str">
        <f t="shared" si="36"/>
        <v>11-2025</v>
      </c>
      <c r="J293" s="86" t="str">
        <f>(YEAR(F293)&amp;TEXT(Table1[[#This Row],[Week]],"00"))</f>
        <v>202546</v>
      </c>
      <c r="K293" s="79" t="str">
        <f>_xlfn.TEXTJOIN("-",TRUE,Table1[[#This Row],[Client]],Table1[[#This Row],[Budget ID]],Table1[[#This Row],[Ressource
'[Initials']]])</f>
        <v>Labflex-230003-1-MS</v>
      </c>
      <c r="L293" s="19" t="s">
        <v>404</v>
      </c>
      <c r="M293" s="22"/>
      <c r="N293" s="22"/>
      <c r="O293" s="23">
        <v>0.5</v>
      </c>
      <c r="P293" s="117" cm="1">
        <f t="array" ref="P293">_xlfn.XLOOKUP(Table1[[#This Row],[UID
'[Helper']]],Table2[[#All],[UID
'[Helper']]],Table2[[#All],[Rate
DKK]],"Not found :(",0,1)</f>
        <v>900</v>
      </c>
      <c r="Q293" s="117">
        <f t="shared" si="37"/>
        <v>450</v>
      </c>
      <c r="R293" s="118"/>
      <c r="S293" s="118"/>
    </row>
    <row r="294" spans="1:19" ht="13.5">
      <c r="A294" s="18" t="s">
        <v>14</v>
      </c>
      <c r="B294" s="18" t="s">
        <v>24</v>
      </c>
      <c r="C294" s="19" t="s">
        <v>71</v>
      </c>
      <c r="D294" s="49" t="s">
        <v>218</v>
      </c>
      <c r="E294" s="18" t="s">
        <v>37</v>
      </c>
      <c r="F294" s="20">
        <v>45975</v>
      </c>
      <c r="G294" s="21">
        <f t="shared" si="35"/>
        <v>46</v>
      </c>
      <c r="H294" s="21" t="s">
        <v>22</v>
      </c>
      <c r="I294" s="79" t="str">
        <f t="shared" si="36"/>
        <v>11-2025</v>
      </c>
      <c r="J294" s="86" t="str">
        <f>(YEAR(F294)&amp;TEXT(Table1[[#This Row],[Week]],"00"))</f>
        <v>202546</v>
      </c>
      <c r="K294" s="79" t="str">
        <f>_xlfn.TEXTJOIN("-",TRUE,Table1[[#This Row],[Client]],Table1[[#This Row],[Budget ID]],Table1[[#This Row],[Ressource
'[Initials']]])</f>
        <v>Labflex-230003-1-MS</v>
      </c>
      <c r="L294" s="19" t="s">
        <v>405</v>
      </c>
      <c r="M294" s="22"/>
      <c r="N294" s="22"/>
      <c r="O294" s="23">
        <v>0.5</v>
      </c>
      <c r="P294" s="117" cm="1">
        <f t="array" ref="P294">_xlfn.XLOOKUP(Table1[[#This Row],[UID
'[Helper']]],Table2[[#All],[UID
'[Helper']]],Table2[[#All],[Rate
DKK]],"Not found :(",0,1)</f>
        <v>900</v>
      </c>
      <c r="Q294" s="117">
        <f t="shared" si="37"/>
        <v>450</v>
      </c>
      <c r="R294" s="118"/>
      <c r="S294" s="118"/>
    </row>
    <row r="295" spans="1:19" ht="13.5">
      <c r="A295" s="18" t="s">
        <v>14</v>
      </c>
      <c r="B295" s="18" t="s">
        <v>24</v>
      </c>
      <c r="C295" s="19" t="s">
        <v>72</v>
      </c>
      <c r="D295" s="49" t="s">
        <v>218</v>
      </c>
      <c r="E295" s="18" t="s">
        <v>73</v>
      </c>
      <c r="F295" s="20">
        <v>45975</v>
      </c>
      <c r="G295" s="21">
        <f t="shared" si="35"/>
        <v>46</v>
      </c>
      <c r="H295" s="21" t="s">
        <v>22</v>
      </c>
      <c r="I295" s="79" t="str">
        <f t="shared" si="36"/>
        <v>11-2025</v>
      </c>
      <c r="J295" s="86" t="str">
        <f>(YEAR(F295)&amp;TEXT(Table1[[#This Row],[Week]],"00"))</f>
        <v>202546</v>
      </c>
      <c r="K295" s="79" t="str">
        <f>_xlfn.TEXTJOIN("-",TRUE,Table1[[#This Row],[Client]],Table1[[#This Row],[Budget ID]],Table1[[#This Row],[Ressource
'[Initials']]])</f>
        <v>Labflex-230003-1-MS</v>
      </c>
      <c r="L295" s="19" t="s">
        <v>404</v>
      </c>
      <c r="M295" s="22"/>
      <c r="N295" s="22"/>
      <c r="O295" s="23">
        <v>0.5</v>
      </c>
      <c r="P295" s="117" cm="1">
        <f t="array" ref="P295">_xlfn.XLOOKUP(Table1[[#This Row],[UID
'[Helper']]],Table2[[#All],[UID
'[Helper']]],Table2[[#All],[Rate
DKK]],"Not found :(",0,1)</f>
        <v>900</v>
      </c>
      <c r="Q295" s="117">
        <f t="shared" si="37"/>
        <v>450</v>
      </c>
      <c r="R295" s="118"/>
      <c r="S295" s="118"/>
    </row>
    <row r="296" spans="1:19" ht="13.5">
      <c r="A296" s="18" t="s">
        <v>107</v>
      </c>
      <c r="B296" s="182" t="s">
        <v>154</v>
      </c>
      <c r="C296" s="183"/>
      <c r="D296" s="49">
        <v>240021</v>
      </c>
      <c r="E296" s="182" t="s">
        <v>37</v>
      </c>
      <c r="F296" s="184">
        <v>45975</v>
      </c>
      <c r="G296" s="185">
        <f t="shared" si="35"/>
        <v>46</v>
      </c>
      <c r="H296" s="185" t="s">
        <v>54</v>
      </c>
      <c r="I296" s="79" t="str">
        <f t="shared" si="36"/>
        <v>11-2025</v>
      </c>
      <c r="J296" s="86" t="str">
        <f>(YEAR(F296)&amp;TEXT(Table1[[#This Row],[Week]],"00"))</f>
        <v>202546</v>
      </c>
      <c r="K296" s="79" t="str">
        <f>_xlfn.TEXTJOIN("-",TRUE,Table1[[#This Row],[Client]],Table1[[#This Row],[Budget ID]],Table1[[#This Row],[Ressource
'[Initials']]])</f>
        <v>Zystm-240021-ML</v>
      </c>
      <c r="L296" s="19"/>
      <c r="M296" s="22"/>
      <c r="N296" s="22"/>
      <c r="O296" s="23">
        <v>2</v>
      </c>
      <c r="P296" s="117" cm="1">
        <f t="array" ref="P296">_xlfn.XLOOKUP(Table1[[#This Row],[UID
'[Helper']]],Table2[[#All],[UID
'[Helper']]],Table2[[#All],[Rate
DKK]],"Not found :(",0,1)</f>
        <v>850</v>
      </c>
      <c r="Q296" s="117">
        <f t="shared" si="37"/>
        <v>1700</v>
      </c>
      <c r="R296" s="118"/>
      <c r="S296" s="118"/>
    </row>
    <row r="297" spans="1:19" ht="13.5">
      <c r="A297" s="182" t="s">
        <v>92</v>
      </c>
      <c r="B297" s="182" t="s">
        <v>269</v>
      </c>
      <c r="C297" s="183" t="s">
        <v>401</v>
      </c>
      <c r="D297" s="49">
        <v>250402</v>
      </c>
      <c r="E297" s="182" t="s">
        <v>46</v>
      </c>
      <c r="F297" s="184">
        <v>45975</v>
      </c>
      <c r="G297" s="21">
        <f t="shared" si="35"/>
        <v>46</v>
      </c>
      <c r="H297" s="21" t="s">
        <v>54</v>
      </c>
      <c r="I297" s="79" t="str">
        <f t="shared" si="36"/>
        <v>11-2025</v>
      </c>
      <c r="J297" s="86" t="str">
        <f>(YEAR(F297)&amp;TEXT(Table1[[#This Row],[Week]],"00"))</f>
        <v>202546</v>
      </c>
      <c r="K297" s="79" t="str">
        <f>_xlfn.TEXTJOIN("-",TRUE,Table1[[#This Row],[Client]],Table1[[#This Row],[Budget ID]],Table1[[#This Row],[Ressource
'[Initials']]])</f>
        <v>Novo Nordisk-250402-ML</v>
      </c>
      <c r="L297" s="19"/>
      <c r="M297" s="22"/>
      <c r="N297" s="22"/>
      <c r="O297" s="23">
        <v>5</v>
      </c>
      <c r="P297" s="117" cm="1">
        <f t="array" ref="P297">_xlfn.XLOOKUP(Table1[[#This Row],[UID
'[Helper']]],Table2[[#All],[UID
'[Helper']]],Table2[[#All],[Rate
DKK]],"Not found :(",0,1)</f>
        <v>900</v>
      </c>
      <c r="Q297" s="117">
        <f t="shared" si="37"/>
        <v>4500</v>
      </c>
      <c r="R297" s="118"/>
      <c r="S297" s="118"/>
    </row>
    <row r="298" spans="1:19" ht="13.5">
      <c r="A298" s="18" t="s">
        <v>14</v>
      </c>
      <c r="B298" s="18" t="s">
        <v>24</v>
      </c>
      <c r="C298" s="19" t="s">
        <v>277</v>
      </c>
      <c r="D298" s="49" t="s">
        <v>218</v>
      </c>
      <c r="E298" s="18" t="s">
        <v>79</v>
      </c>
      <c r="F298" s="20">
        <v>45975</v>
      </c>
      <c r="G298" s="21">
        <f t="shared" si="35"/>
        <v>46</v>
      </c>
      <c r="H298" s="21" t="s">
        <v>369</v>
      </c>
      <c r="I298" s="79" t="str">
        <f t="shared" si="36"/>
        <v>11-2025</v>
      </c>
      <c r="J298" s="86" t="str">
        <f>(YEAR(F298)&amp;TEXT(Table1[[#This Row],[Week]],"00"))</f>
        <v>202546</v>
      </c>
      <c r="K298" s="79" t="str">
        <f>_xlfn.TEXTJOIN("-",TRUE,Table1[[#This Row],[Client]],Table1[[#This Row],[Budget ID]],Table1[[#This Row],[Ressource
'[Initials']]])</f>
        <v>Labflex-230003-1-GL</v>
      </c>
      <c r="L298" s="19" t="s">
        <v>437</v>
      </c>
      <c r="M298" s="22"/>
      <c r="N298" s="22"/>
      <c r="O298" s="23">
        <v>1</v>
      </c>
      <c r="P298" s="117" cm="1">
        <f t="array" ref="P298">_xlfn.XLOOKUP(Table1[[#This Row],[UID
'[Helper']]],Table2[[#All],[UID
'[Helper']]],Table2[[#All],[Rate
DKK]],"Not found :(",0,1)</f>
        <v>800</v>
      </c>
      <c r="Q298" s="117">
        <f t="shared" si="37"/>
        <v>800</v>
      </c>
      <c r="R298" s="118"/>
      <c r="S298" s="118"/>
    </row>
    <row r="299" spans="1:19" ht="13.5">
      <c r="A299" s="18" t="s">
        <v>14</v>
      </c>
      <c r="B299" s="18" t="s">
        <v>24</v>
      </c>
      <c r="C299" s="19" t="s">
        <v>72</v>
      </c>
      <c r="D299" s="49" t="s">
        <v>218</v>
      </c>
      <c r="E299" s="182" t="s">
        <v>37</v>
      </c>
      <c r="F299" s="20">
        <v>45975</v>
      </c>
      <c r="G299" s="21">
        <f t="shared" si="35"/>
        <v>46</v>
      </c>
      <c r="H299" s="21" t="s">
        <v>369</v>
      </c>
      <c r="I299" s="79" t="str">
        <f t="shared" si="36"/>
        <v>11-2025</v>
      </c>
      <c r="J299" s="86" t="str">
        <f>(YEAR(F299)&amp;TEXT(Table1[[#This Row],[Week]],"00"))</f>
        <v>202546</v>
      </c>
      <c r="K299" s="79" t="str">
        <f>_xlfn.TEXTJOIN("-",TRUE,Table1[[#This Row],[Client]],Table1[[#This Row],[Budget ID]],Table1[[#This Row],[Ressource
'[Initials']]])</f>
        <v>Labflex-230003-1-GL</v>
      </c>
      <c r="L299" s="19" t="s">
        <v>421</v>
      </c>
      <c r="M299" s="22"/>
      <c r="N299" s="22"/>
      <c r="O299" s="23">
        <v>0.5</v>
      </c>
      <c r="P299" s="117" cm="1">
        <f t="array" ref="P299">_xlfn.XLOOKUP(Table1[[#This Row],[UID
'[Helper']]],Table2[[#All],[UID
'[Helper']]],Table2[[#All],[Rate
DKK]],"Not found :(",0,1)</f>
        <v>800</v>
      </c>
      <c r="Q299" s="117">
        <f t="shared" si="37"/>
        <v>400</v>
      </c>
      <c r="R299" s="118"/>
      <c r="S299" s="118"/>
    </row>
    <row r="300" spans="1:19" ht="13.5">
      <c r="A300" s="42" t="s">
        <v>92</v>
      </c>
      <c r="B300" s="43" t="s">
        <v>269</v>
      </c>
      <c r="C300" s="44" t="s">
        <v>401</v>
      </c>
      <c r="D300" s="49">
        <v>250402</v>
      </c>
      <c r="E300" s="18" t="s">
        <v>46</v>
      </c>
      <c r="F300" s="20">
        <v>45975</v>
      </c>
      <c r="G300" s="21">
        <f t="shared" si="35"/>
        <v>46</v>
      </c>
      <c r="H300" s="21" t="s">
        <v>369</v>
      </c>
      <c r="I300" s="79" t="str">
        <f t="shared" si="36"/>
        <v>11-2025</v>
      </c>
      <c r="J300" s="86" t="str">
        <f>(YEAR(F300)&amp;TEXT(Table1[[#This Row],[Week]],"00"))</f>
        <v>202546</v>
      </c>
      <c r="K300" s="79" t="str">
        <f>_xlfn.TEXTJOIN("-",TRUE,Table1[[#This Row],[Client]],Table1[[#This Row],[Budget ID]],Table1[[#This Row],[Ressource
'[Initials']]])</f>
        <v>Novo Nordisk-250402-GL</v>
      </c>
      <c r="L300" s="19" t="s">
        <v>439</v>
      </c>
      <c r="M300" s="22"/>
      <c r="N300" s="22"/>
      <c r="O300" s="23">
        <v>1</v>
      </c>
      <c r="P300" s="117" cm="1">
        <f t="array" ref="P300">_xlfn.XLOOKUP(Table1[[#This Row],[UID
'[Helper']]],Table2[[#All],[UID
'[Helper']]],Table2[[#All],[Rate
DKK]],"Not found :(",0,1)</f>
        <v>900</v>
      </c>
      <c r="Q300" s="117">
        <f t="shared" si="37"/>
        <v>900</v>
      </c>
      <c r="R300" s="118"/>
      <c r="S300" s="118"/>
    </row>
    <row r="301" spans="1:19">
      <c r="A301" s="182" t="s">
        <v>368</v>
      </c>
      <c r="B301" s="18" t="s">
        <v>448</v>
      </c>
      <c r="C301" s="19" t="s">
        <v>368</v>
      </c>
      <c r="D301" s="168">
        <v>250902</v>
      </c>
      <c r="E301" s="182" t="s">
        <v>79</v>
      </c>
      <c r="F301" s="20">
        <v>45975</v>
      </c>
      <c r="G301" s="21">
        <f t="shared" si="35"/>
        <v>46</v>
      </c>
      <c r="H301" s="21" t="s">
        <v>369</v>
      </c>
      <c r="I301" s="79" t="str">
        <f t="shared" si="36"/>
        <v>11-2025</v>
      </c>
      <c r="J301" s="86" t="str">
        <f>(YEAR(F301)&amp;TEXT(Table1[[#This Row],[Week]],"00"))</f>
        <v>202546</v>
      </c>
      <c r="K301" s="79" t="str">
        <f>_xlfn.TEXTJOIN("-",TRUE,Table1[[#This Row],[Client]],Table1[[#This Row],[Budget ID]],Table1[[#This Row],[Ressource
'[Initials']]])</f>
        <v>Kyodo Projects-250902-GL</v>
      </c>
      <c r="L301" s="19" t="s">
        <v>438</v>
      </c>
      <c r="M301" s="22"/>
      <c r="N301" s="22"/>
      <c r="O301" s="23">
        <v>1.5</v>
      </c>
      <c r="P301" s="117" cm="1">
        <f t="array" ref="P301">_xlfn.XLOOKUP(Table1[[#This Row],[UID
'[Helper']]],Table2[[#All],[UID
'[Helper']]],Table2[[#All],[Rate
DKK]],"Not found :(",0,1)</f>
        <v>900</v>
      </c>
      <c r="Q301" s="117">
        <f t="shared" si="37"/>
        <v>1350</v>
      </c>
      <c r="R301" s="118"/>
      <c r="S301" s="118"/>
    </row>
    <row r="302" spans="1:19">
      <c r="A302" s="182" t="s">
        <v>368</v>
      </c>
      <c r="B302" s="18" t="s">
        <v>448</v>
      </c>
      <c r="C302" s="19" t="s">
        <v>368</v>
      </c>
      <c r="D302" s="168">
        <v>250902</v>
      </c>
      <c r="E302" s="182" t="s">
        <v>79</v>
      </c>
      <c r="F302" s="20">
        <v>45975</v>
      </c>
      <c r="G302" s="21">
        <f t="shared" si="35"/>
        <v>46</v>
      </c>
      <c r="H302" s="21" t="s">
        <v>54</v>
      </c>
      <c r="I302" s="79" t="str">
        <f t="shared" si="36"/>
        <v>11-2025</v>
      </c>
      <c r="J302" s="86" t="str">
        <f>(YEAR(F302)&amp;TEXT(Table1[[#This Row],[Week]],"00"))</f>
        <v>202546</v>
      </c>
      <c r="K302" s="79" t="str">
        <f>_xlfn.TEXTJOIN("-",TRUE,Table1[[#This Row],[Client]],Table1[[#This Row],[Budget ID]],Table1[[#This Row],[Ressource
'[Initials']]])</f>
        <v>Kyodo Projects-250902-ML</v>
      </c>
      <c r="L302" s="19" t="s">
        <v>436</v>
      </c>
      <c r="M302" s="22"/>
      <c r="N302" s="22"/>
      <c r="O302" s="23">
        <v>3</v>
      </c>
      <c r="P302" s="117" cm="1">
        <f t="array" ref="P302">_xlfn.XLOOKUP(Table1[[#This Row],[UID
'[Helper']]],Table2[[#All],[UID
'[Helper']]],Table2[[#All],[Rate
DKK]],"Not found :(",0,1)</f>
        <v>900</v>
      </c>
      <c r="Q302" s="117">
        <f t="shared" si="37"/>
        <v>2700</v>
      </c>
      <c r="R302" s="118"/>
      <c r="S302" s="118" t="s">
        <v>366</v>
      </c>
    </row>
    <row r="303" spans="1:19">
      <c r="A303" s="182" t="s">
        <v>368</v>
      </c>
      <c r="B303" s="18" t="s">
        <v>448</v>
      </c>
      <c r="C303" s="19" t="s">
        <v>368</v>
      </c>
      <c r="D303" s="168">
        <v>250902</v>
      </c>
      <c r="E303" s="182" t="s">
        <v>79</v>
      </c>
      <c r="F303" s="20">
        <v>45976</v>
      </c>
      <c r="G303" s="21">
        <f t="shared" si="35"/>
        <v>46</v>
      </c>
      <c r="H303" s="21" t="s">
        <v>54</v>
      </c>
      <c r="I303" s="79" t="str">
        <f t="shared" si="36"/>
        <v>11-2025</v>
      </c>
      <c r="J303" s="86" t="str">
        <f>(YEAR(F303)&amp;TEXT(Table1[[#This Row],[Week]],"00"))</f>
        <v>202546</v>
      </c>
      <c r="K303" s="79" t="str">
        <f>_xlfn.TEXTJOIN("-",TRUE,Table1[[#This Row],[Client]],Table1[[#This Row],[Budget ID]],Table1[[#This Row],[Ressource
'[Initials']]])</f>
        <v>Kyodo Projects-250902-ML</v>
      </c>
      <c r="L303" s="19" t="s">
        <v>436</v>
      </c>
      <c r="M303" s="22"/>
      <c r="N303" s="22"/>
      <c r="O303" s="23">
        <v>4</v>
      </c>
      <c r="P303" s="117" cm="1">
        <f t="array" ref="P303">_xlfn.XLOOKUP(Table1[[#This Row],[UID
'[Helper']]],Table2[[#All],[UID
'[Helper']]],Table2[[#All],[Rate
DKK]],"Not found :(",0,1)</f>
        <v>900</v>
      </c>
      <c r="Q303" s="117">
        <f t="shared" si="37"/>
        <v>3600</v>
      </c>
      <c r="R303" s="118"/>
      <c r="S303" s="118" t="s">
        <v>366</v>
      </c>
    </row>
    <row r="304" spans="1:19" ht="27">
      <c r="A304" s="18" t="s">
        <v>92</v>
      </c>
      <c r="B304" s="18" t="s">
        <v>269</v>
      </c>
      <c r="C304" s="19" t="s">
        <v>400</v>
      </c>
      <c r="D304" s="49">
        <v>250402</v>
      </c>
      <c r="E304" s="18" t="s">
        <v>46</v>
      </c>
      <c r="F304" s="20">
        <v>45978</v>
      </c>
      <c r="G304" s="21">
        <f t="shared" si="35"/>
        <v>47</v>
      </c>
      <c r="H304" s="21" t="s">
        <v>22</v>
      </c>
      <c r="I304" s="79" t="str">
        <f t="shared" si="36"/>
        <v>11-2025</v>
      </c>
      <c r="J304" s="86" t="str">
        <f>(YEAR(F304)&amp;TEXT(Table1[[#This Row],[Week]],"00"))</f>
        <v>202547</v>
      </c>
      <c r="K304" s="79" t="str">
        <f>_xlfn.TEXTJOIN("-",TRUE,Table1[[#This Row],[Client]],Table1[[#This Row],[Budget ID]],Table1[[#This Row],[Ressource
'[Initials']]])</f>
        <v>Novo Nordisk-250402-MS</v>
      </c>
      <c r="L304" s="19" t="s">
        <v>407</v>
      </c>
      <c r="M304" s="22"/>
      <c r="N304" s="22"/>
      <c r="O304" s="23">
        <v>2.5</v>
      </c>
      <c r="P304" s="117" cm="1">
        <f t="array" ref="P304">_xlfn.XLOOKUP(Table1[[#This Row],[UID
'[Helper']]],Table2[[#All],[UID
'[Helper']]],Table2[[#All],[Rate
DKK]],"Not found :(",0,1)</f>
        <v>900</v>
      </c>
      <c r="Q304" s="117">
        <f t="shared" si="37"/>
        <v>2250</v>
      </c>
      <c r="R304" s="118"/>
      <c r="S304" s="118"/>
    </row>
    <row r="305" spans="1:19" ht="13.5">
      <c r="A305" s="18" t="s">
        <v>92</v>
      </c>
      <c r="B305" s="18" t="s">
        <v>269</v>
      </c>
      <c r="C305" s="19" t="s">
        <v>401</v>
      </c>
      <c r="D305" s="49">
        <v>250402</v>
      </c>
      <c r="E305" s="18" t="s">
        <v>46</v>
      </c>
      <c r="F305" s="20">
        <v>45978</v>
      </c>
      <c r="G305" s="21">
        <f t="shared" si="35"/>
        <v>47</v>
      </c>
      <c r="H305" s="21" t="s">
        <v>22</v>
      </c>
      <c r="I305" s="79" t="str">
        <f t="shared" si="36"/>
        <v>11-2025</v>
      </c>
      <c r="J305" s="86" t="str">
        <f>(YEAR(F305)&amp;TEXT(Table1[[#This Row],[Week]],"00"))</f>
        <v>202547</v>
      </c>
      <c r="K305" s="79" t="str">
        <f>_xlfn.TEXTJOIN("-",TRUE,Table1[[#This Row],[Client]],Table1[[#This Row],[Budget ID]],Table1[[#This Row],[Ressource
'[Initials']]])</f>
        <v>Novo Nordisk-250402-MS</v>
      </c>
      <c r="L305" s="19" t="s">
        <v>406</v>
      </c>
      <c r="M305" s="22"/>
      <c r="N305" s="22"/>
      <c r="O305" s="23">
        <v>3</v>
      </c>
      <c r="P305" s="117" cm="1">
        <f t="array" ref="P305">_xlfn.XLOOKUP(Table1[[#This Row],[UID
'[Helper']]],Table2[[#All],[UID
'[Helper']]],Table2[[#All],[Rate
DKK]],"Not found :(",0,1)</f>
        <v>900</v>
      </c>
      <c r="Q305" s="117">
        <f t="shared" si="37"/>
        <v>2700</v>
      </c>
      <c r="R305" s="118"/>
      <c r="S305" s="118"/>
    </row>
    <row r="306" spans="1:19" ht="13.5">
      <c r="A306" s="18" t="s">
        <v>14</v>
      </c>
      <c r="B306" s="18" t="s">
        <v>24</v>
      </c>
      <c r="C306" s="19" t="s">
        <v>268</v>
      </c>
      <c r="D306" s="49" t="s">
        <v>218</v>
      </c>
      <c r="E306" s="18" t="s">
        <v>79</v>
      </c>
      <c r="F306" s="20">
        <v>45978</v>
      </c>
      <c r="G306" s="21">
        <f t="shared" si="35"/>
        <v>47</v>
      </c>
      <c r="H306" s="21" t="s">
        <v>22</v>
      </c>
      <c r="I306" s="79" t="str">
        <f t="shared" si="36"/>
        <v>11-2025</v>
      </c>
      <c r="J306" s="86" t="str">
        <f>(YEAR(F306)&amp;TEXT(Table1[[#This Row],[Week]],"00"))</f>
        <v>202547</v>
      </c>
      <c r="K306" s="79" t="str">
        <f>_xlfn.TEXTJOIN("-",TRUE,Table1[[#This Row],[Client]],Table1[[#This Row],[Budget ID]],Table1[[#This Row],[Ressource
'[Initials']]])</f>
        <v>Labflex-230003-1-MS</v>
      </c>
      <c r="L306" s="19" t="s">
        <v>408</v>
      </c>
      <c r="M306" s="22"/>
      <c r="N306" s="22"/>
      <c r="O306" s="23">
        <v>1</v>
      </c>
      <c r="P306" s="117" cm="1">
        <f t="array" ref="P306">_xlfn.XLOOKUP(Table1[[#This Row],[UID
'[Helper']]],Table2[[#All],[UID
'[Helper']]],Table2[[#All],[Rate
DKK]],"Not found :(",0,1)</f>
        <v>900</v>
      </c>
      <c r="Q306" s="117">
        <f t="shared" si="37"/>
        <v>900</v>
      </c>
      <c r="R306" s="118"/>
      <c r="S306" s="118"/>
    </row>
    <row r="307" spans="1:19" ht="13.5">
      <c r="A307" s="18" t="s">
        <v>14</v>
      </c>
      <c r="B307" s="18" t="s">
        <v>24</v>
      </c>
      <c r="C307" s="19" t="s">
        <v>273</v>
      </c>
      <c r="D307" s="71" t="s">
        <v>218</v>
      </c>
      <c r="E307" s="18" t="s">
        <v>79</v>
      </c>
      <c r="F307" s="20">
        <v>45978</v>
      </c>
      <c r="G307" s="21">
        <f t="shared" si="35"/>
        <v>47</v>
      </c>
      <c r="H307" s="21" t="s">
        <v>22</v>
      </c>
      <c r="I307" s="79" t="str">
        <f t="shared" si="36"/>
        <v>11-2025</v>
      </c>
      <c r="J307" s="86" t="str">
        <f>(YEAR(F307)&amp;TEXT(Table1[[#This Row],[Week]],"00"))</f>
        <v>202547</v>
      </c>
      <c r="K307" s="79" t="str">
        <f>_xlfn.TEXTJOIN("-",TRUE,Table1[[#This Row],[Client]],Table1[[#This Row],[Budget ID]],Table1[[#This Row],[Ressource
'[Initials']]])</f>
        <v>Labflex-230003-1-MS</v>
      </c>
      <c r="L307" s="19" t="s">
        <v>408</v>
      </c>
      <c r="M307" s="22"/>
      <c r="N307" s="22"/>
      <c r="O307" s="23">
        <v>1</v>
      </c>
      <c r="P307" s="117" cm="1">
        <f t="array" ref="P307">_xlfn.XLOOKUP(Table1[[#This Row],[UID
'[Helper']]],Table2[[#All],[UID
'[Helper']]],Table2[[#All],[Rate
DKK]],"Not found :(",0,1)</f>
        <v>900</v>
      </c>
      <c r="Q307" s="117">
        <f t="shared" si="37"/>
        <v>900</v>
      </c>
      <c r="R307" s="118"/>
      <c r="S307" s="118"/>
    </row>
    <row r="308" spans="1:19" ht="13.5">
      <c r="A308" s="18" t="s">
        <v>14</v>
      </c>
      <c r="B308" s="18" t="s">
        <v>24</v>
      </c>
      <c r="C308" s="19" t="s">
        <v>277</v>
      </c>
      <c r="D308" s="49" t="s">
        <v>218</v>
      </c>
      <c r="E308" s="18" t="s">
        <v>79</v>
      </c>
      <c r="F308" s="20">
        <v>45978</v>
      </c>
      <c r="G308" s="21">
        <f t="shared" si="35"/>
        <v>47</v>
      </c>
      <c r="H308" s="21" t="s">
        <v>22</v>
      </c>
      <c r="I308" s="79" t="str">
        <f t="shared" si="36"/>
        <v>11-2025</v>
      </c>
      <c r="J308" s="86" t="str">
        <f>(YEAR(F308)&amp;TEXT(Table1[[#This Row],[Week]],"00"))</f>
        <v>202547</v>
      </c>
      <c r="K308" s="79" t="str">
        <f>_xlfn.TEXTJOIN("-",TRUE,Table1[[#This Row],[Client]],Table1[[#This Row],[Budget ID]],Table1[[#This Row],[Ressource
'[Initials']]])</f>
        <v>Labflex-230003-1-MS</v>
      </c>
      <c r="L308" s="19" t="s">
        <v>408</v>
      </c>
      <c r="M308" s="22"/>
      <c r="N308" s="22"/>
      <c r="O308" s="23">
        <v>1</v>
      </c>
      <c r="P308" s="117" cm="1">
        <f t="array" ref="P308">_xlfn.XLOOKUP(Table1[[#This Row],[UID
'[Helper']]],Table2[[#All],[UID
'[Helper']]],Table2[[#All],[Rate
DKK]],"Not found :(",0,1)</f>
        <v>900</v>
      </c>
      <c r="Q308" s="117">
        <f t="shared" si="37"/>
        <v>900</v>
      </c>
      <c r="R308" s="118"/>
      <c r="S308" s="118"/>
    </row>
    <row r="309" spans="1:19" ht="13.5">
      <c r="A309" s="18" t="s">
        <v>14</v>
      </c>
      <c r="B309" s="18" t="s">
        <v>24</v>
      </c>
      <c r="C309" s="19" t="s">
        <v>371</v>
      </c>
      <c r="D309" s="49" t="s">
        <v>218</v>
      </c>
      <c r="E309" s="18" t="s">
        <v>46</v>
      </c>
      <c r="F309" s="20">
        <v>45978</v>
      </c>
      <c r="G309" s="21">
        <f t="shared" si="35"/>
        <v>47</v>
      </c>
      <c r="H309" s="21" t="s">
        <v>22</v>
      </c>
      <c r="I309" s="79" t="str">
        <f t="shared" si="36"/>
        <v>11-2025</v>
      </c>
      <c r="J309" s="86" t="str">
        <f>(YEAR(F309)&amp;TEXT(Table1[[#This Row],[Week]],"00"))</f>
        <v>202547</v>
      </c>
      <c r="K309" s="79" t="str">
        <f>_xlfn.TEXTJOIN("-",TRUE,Table1[[#This Row],[Client]],Table1[[#This Row],[Budget ID]],Table1[[#This Row],[Ressource
'[Initials']]])</f>
        <v>Labflex-230003-1-MS</v>
      </c>
      <c r="L309" s="19" t="s">
        <v>408</v>
      </c>
      <c r="M309" s="22"/>
      <c r="N309" s="22"/>
      <c r="O309" s="23">
        <v>1.5</v>
      </c>
      <c r="P309" s="117" cm="1">
        <f t="array" ref="P309">_xlfn.XLOOKUP(Table1[[#This Row],[UID
'[Helper']]],Table2[[#All],[UID
'[Helper']]],Table2[[#All],[Rate
DKK]],"Not found :(",0,1)</f>
        <v>900</v>
      </c>
      <c r="Q309" s="117">
        <f t="shared" si="37"/>
        <v>1350</v>
      </c>
      <c r="R309" s="118"/>
      <c r="S309" s="118"/>
    </row>
    <row r="310" spans="1:19" ht="27">
      <c r="A310" s="18" t="s">
        <v>14</v>
      </c>
      <c r="B310" s="18" t="s">
        <v>24</v>
      </c>
      <c r="C310" s="19" t="s">
        <v>72</v>
      </c>
      <c r="D310" s="49" t="s">
        <v>218</v>
      </c>
      <c r="E310" s="18" t="s">
        <v>37</v>
      </c>
      <c r="F310" s="20">
        <v>45978</v>
      </c>
      <c r="G310" s="21">
        <f t="shared" si="35"/>
        <v>47</v>
      </c>
      <c r="H310" s="21" t="s">
        <v>22</v>
      </c>
      <c r="I310" s="79" t="str">
        <f t="shared" si="36"/>
        <v>11-2025</v>
      </c>
      <c r="J310" s="86" t="str">
        <f>(YEAR(F310)&amp;TEXT(Table1[[#This Row],[Week]],"00"))</f>
        <v>202547</v>
      </c>
      <c r="K310" s="79" t="str">
        <f>_xlfn.TEXTJOIN("-",TRUE,Table1[[#This Row],[Client]],Table1[[#This Row],[Budget ID]],Table1[[#This Row],[Ressource
'[Initials']]])</f>
        <v>Labflex-230003-1-MS</v>
      </c>
      <c r="L310" s="19" t="s">
        <v>409</v>
      </c>
      <c r="M310" s="22"/>
      <c r="N310" s="22"/>
      <c r="O310" s="23">
        <v>1</v>
      </c>
      <c r="P310" s="117" cm="1">
        <f t="array" ref="P310">_xlfn.XLOOKUP(Table1[[#This Row],[UID
'[Helper']]],Table2[[#All],[UID
'[Helper']]],Table2[[#All],[Rate
DKK]],"Not found :(",0,1)</f>
        <v>900</v>
      </c>
      <c r="Q310" s="117">
        <f t="shared" si="37"/>
        <v>900</v>
      </c>
      <c r="R310" s="118"/>
      <c r="S310" s="118"/>
    </row>
    <row r="311" spans="1:19" ht="13.5">
      <c r="A311" s="43" t="s">
        <v>14</v>
      </c>
      <c r="B311" s="43" t="s">
        <v>24</v>
      </c>
      <c r="C311" s="19" t="s">
        <v>71</v>
      </c>
      <c r="D311" s="71" t="s">
        <v>218</v>
      </c>
      <c r="E311" s="18" t="s">
        <v>73</v>
      </c>
      <c r="F311" s="20">
        <v>45978</v>
      </c>
      <c r="G311" s="21">
        <f t="shared" si="35"/>
        <v>47</v>
      </c>
      <c r="H311" s="21" t="s">
        <v>22</v>
      </c>
      <c r="I311" s="79" t="str">
        <f t="shared" si="36"/>
        <v>11-2025</v>
      </c>
      <c r="J311" s="86" t="str">
        <f>(YEAR(F311)&amp;TEXT(Table1[[#This Row],[Week]],"00"))</f>
        <v>202547</v>
      </c>
      <c r="K311" s="79" t="str">
        <f>_xlfn.TEXTJOIN("-",TRUE,Table1[[#This Row],[Client]],Table1[[#This Row],[Budget ID]],Table1[[#This Row],[Ressource
'[Initials']]])</f>
        <v>Labflex-230003-1-MS</v>
      </c>
      <c r="L311" s="19" t="s">
        <v>410</v>
      </c>
      <c r="M311" s="22"/>
      <c r="N311" s="22"/>
      <c r="O311" s="23">
        <v>0.5</v>
      </c>
      <c r="P311" s="117" cm="1">
        <f t="array" ref="P311">_xlfn.XLOOKUP(Table1[[#This Row],[UID
'[Helper']]],Table2[[#All],[UID
'[Helper']]],Table2[[#All],[Rate
DKK]],"Not found :(",0,1)</f>
        <v>900</v>
      </c>
      <c r="Q311" s="117">
        <f t="shared" si="37"/>
        <v>450</v>
      </c>
      <c r="R311" s="118"/>
      <c r="S311" s="118"/>
    </row>
    <row r="312" spans="1:19" ht="27">
      <c r="A312" s="18" t="s">
        <v>14</v>
      </c>
      <c r="B312" s="18" t="s">
        <v>24</v>
      </c>
      <c r="C312" s="19" t="s">
        <v>71</v>
      </c>
      <c r="D312" s="49" t="s">
        <v>218</v>
      </c>
      <c r="E312" s="18" t="s">
        <v>37</v>
      </c>
      <c r="F312" s="20">
        <v>45978</v>
      </c>
      <c r="G312" s="21">
        <f t="shared" si="35"/>
        <v>47</v>
      </c>
      <c r="H312" s="21" t="s">
        <v>22</v>
      </c>
      <c r="I312" s="79" t="str">
        <f t="shared" si="36"/>
        <v>11-2025</v>
      </c>
      <c r="J312" s="86" t="str">
        <f>(YEAR(F312)&amp;TEXT(Table1[[#This Row],[Week]],"00"))</f>
        <v>202547</v>
      </c>
      <c r="K312" s="79" t="str">
        <f>_xlfn.TEXTJOIN("-",TRUE,Table1[[#This Row],[Client]],Table1[[#This Row],[Budget ID]],Table1[[#This Row],[Ressource
'[Initials']]])</f>
        <v>Labflex-230003-1-MS</v>
      </c>
      <c r="L312" s="19" t="s">
        <v>409</v>
      </c>
      <c r="M312" s="22"/>
      <c r="N312" s="22"/>
      <c r="O312" s="23">
        <v>0.5</v>
      </c>
      <c r="P312" s="117" cm="1">
        <f t="array" ref="P312">_xlfn.XLOOKUP(Table1[[#This Row],[UID
'[Helper']]],Table2[[#All],[UID
'[Helper']]],Table2[[#All],[Rate
DKK]],"Not found :(",0,1)</f>
        <v>900</v>
      </c>
      <c r="Q312" s="117">
        <f t="shared" si="37"/>
        <v>450</v>
      </c>
      <c r="R312" s="118"/>
      <c r="S312" s="118"/>
    </row>
    <row r="313" spans="1:19" ht="13.5">
      <c r="A313" s="18" t="s">
        <v>14</v>
      </c>
      <c r="B313" s="18" t="s">
        <v>24</v>
      </c>
      <c r="C313" s="19" t="s">
        <v>72</v>
      </c>
      <c r="D313" s="49" t="s">
        <v>218</v>
      </c>
      <c r="E313" s="18" t="s">
        <v>73</v>
      </c>
      <c r="F313" s="20">
        <v>45978</v>
      </c>
      <c r="G313" s="21">
        <f t="shared" si="35"/>
        <v>47</v>
      </c>
      <c r="H313" s="21" t="s">
        <v>22</v>
      </c>
      <c r="I313" s="79" t="str">
        <f t="shared" si="36"/>
        <v>11-2025</v>
      </c>
      <c r="J313" s="86" t="str">
        <f>(YEAR(F313)&amp;TEXT(Table1[[#This Row],[Week]],"00"))</f>
        <v>202547</v>
      </c>
      <c r="K313" s="79" t="str">
        <f>_xlfn.TEXTJOIN("-",TRUE,Table1[[#This Row],[Client]],Table1[[#This Row],[Budget ID]],Table1[[#This Row],[Ressource
'[Initials']]])</f>
        <v>Labflex-230003-1-MS</v>
      </c>
      <c r="L313" s="19" t="s">
        <v>410</v>
      </c>
      <c r="M313" s="22"/>
      <c r="N313" s="22"/>
      <c r="O313" s="23">
        <v>0.5</v>
      </c>
      <c r="P313" s="117" cm="1">
        <f t="array" ref="P313">_xlfn.XLOOKUP(Table1[[#This Row],[UID
'[Helper']]],Table2[[#All],[UID
'[Helper']]],Table2[[#All],[Rate
DKK]],"Not found :(",0,1)</f>
        <v>900</v>
      </c>
      <c r="Q313" s="117">
        <f t="shared" si="37"/>
        <v>450</v>
      </c>
      <c r="R313" s="118"/>
      <c r="S313" s="118"/>
    </row>
    <row r="314" spans="1:19" ht="13.5">
      <c r="A314" s="18" t="s">
        <v>92</v>
      </c>
      <c r="B314" s="18" t="s">
        <v>269</v>
      </c>
      <c r="C314" s="19" t="s">
        <v>401</v>
      </c>
      <c r="D314" s="49">
        <v>250402</v>
      </c>
      <c r="E314" s="18" t="s">
        <v>46</v>
      </c>
      <c r="F314" s="20">
        <v>45978</v>
      </c>
      <c r="G314" s="21">
        <f t="shared" si="35"/>
        <v>47</v>
      </c>
      <c r="H314" s="21" t="s">
        <v>20</v>
      </c>
      <c r="I314" s="79" t="str">
        <f t="shared" si="36"/>
        <v>11-2025</v>
      </c>
      <c r="J314" s="86" t="str">
        <f>(YEAR(F314)&amp;TEXT(Table1[[#This Row],[Week]],"00"))</f>
        <v>202547</v>
      </c>
      <c r="K314" s="79" t="str">
        <f>_xlfn.TEXTJOIN("-",TRUE,Table1[[#This Row],[Client]],Table1[[#This Row],[Budget ID]],Table1[[#This Row],[Ressource
'[Initials']]])</f>
        <v>Novo Nordisk-250402-DS</v>
      </c>
      <c r="L314" s="19" t="s">
        <v>406</v>
      </c>
      <c r="M314" s="22"/>
      <c r="N314" s="22"/>
      <c r="O314" s="23">
        <v>5</v>
      </c>
      <c r="P314" s="117" cm="1">
        <f t="array" ref="P314">_xlfn.XLOOKUP(Table1[[#This Row],[UID
'[Helper']]],Table2[[#All],[UID
'[Helper']]],Table2[[#All],[Rate
DKK]],"Not found :(",0,1)</f>
        <v>900</v>
      </c>
      <c r="Q314" s="117">
        <f t="shared" si="37"/>
        <v>4500</v>
      </c>
      <c r="R314" s="118"/>
      <c r="S314" s="118"/>
    </row>
    <row r="315" spans="1:19" ht="27">
      <c r="A315" s="18" t="s">
        <v>92</v>
      </c>
      <c r="B315" s="18" t="s">
        <v>269</v>
      </c>
      <c r="C315" s="19" t="s">
        <v>400</v>
      </c>
      <c r="D315" s="49">
        <v>250402</v>
      </c>
      <c r="E315" s="18" t="s">
        <v>46</v>
      </c>
      <c r="F315" s="20">
        <v>45978</v>
      </c>
      <c r="G315" s="21">
        <f t="shared" si="35"/>
        <v>47</v>
      </c>
      <c r="H315" s="21" t="s">
        <v>20</v>
      </c>
      <c r="I315" s="79" t="str">
        <f t="shared" si="36"/>
        <v>11-2025</v>
      </c>
      <c r="J315" s="86" t="str">
        <f>(YEAR(F315)&amp;TEXT(Table1[[#This Row],[Week]],"00"))</f>
        <v>202547</v>
      </c>
      <c r="K315" s="79" t="str">
        <f>_xlfn.TEXTJOIN("-",TRUE,Table1[[#This Row],[Client]],Table1[[#This Row],[Budget ID]],Table1[[#This Row],[Ressource
'[Initials']]])</f>
        <v>Novo Nordisk-250402-DS</v>
      </c>
      <c r="L315" s="19" t="s">
        <v>407</v>
      </c>
      <c r="M315" s="22"/>
      <c r="N315" s="22"/>
      <c r="O315" s="23">
        <v>2.5</v>
      </c>
      <c r="P315" s="117" cm="1">
        <f t="array" ref="P315">_xlfn.XLOOKUP(Table1[[#This Row],[UID
'[Helper']]],Table2[[#All],[UID
'[Helper']]],Table2[[#All],[Rate
DKK]],"Not found :(",0,1)</f>
        <v>900</v>
      </c>
      <c r="Q315" s="117">
        <f t="shared" si="37"/>
        <v>2250</v>
      </c>
      <c r="R315" s="118"/>
      <c r="S315" s="118"/>
    </row>
    <row r="316" spans="1:19" ht="13.5">
      <c r="A316" s="18" t="s">
        <v>14</v>
      </c>
      <c r="B316" s="18" t="s">
        <v>24</v>
      </c>
      <c r="C316" s="19" t="s">
        <v>277</v>
      </c>
      <c r="D316" s="49" t="s">
        <v>218</v>
      </c>
      <c r="E316" s="18" t="s">
        <v>79</v>
      </c>
      <c r="F316" s="20">
        <v>45978</v>
      </c>
      <c r="G316" s="21">
        <f t="shared" si="35"/>
        <v>47</v>
      </c>
      <c r="H316" s="21" t="s">
        <v>369</v>
      </c>
      <c r="I316" s="79" t="str">
        <f t="shared" si="36"/>
        <v>11-2025</v>
      </c>
      <c r="J316" s="86" t="str">
        <f>(YEAR(F316)&amp;TEXT(Table1[[#This Row],[Week]],"00"))</f>
        <v>202547</v>
      </c>
      <c r="K316" s="79" t="str">
        <f>_xlfn.TEXTJOIN("-",TRUE,Table1[[#This Row],[Client]],Table1[[#This Row],[Budget ID]],Table1[[#This Row],[Ressource
'[Initials']]])</f>
        <v>Labflex-230003-1-GL</v>
      </c>
      <c r="L316" s="19" t="s">
        <v>440</v>
      </c>
      <c r="M316" s="22"/>
      <c r="N316" s="22"/>
      <c r="O316" s="23">
        <v>0.5</v>
      </c>
      <c r="P316" s="117" cm="1">
        <f t="array" ref="P316">_xlfn.XLOOKUP(Table1[[#This Row],[UID
'[Helper']]],Table2[[#All],[UID
'[Helper']]],Table2[[#All],[Rate
DKK]],"Not found :(",0,1)</f>
        <v>800</v>
      </c>
      <c r="Q316" s="117">
        <f t="shared" si="37"/>
        <v>400</v>
      </c>
      <c r="R316" s="118"/>
      <c r="S316" s="118"/>
    </row>
    <row r="317" spans="1:19" ht="13.5">
      <c r="A317" s="42" t="s">
        <v>14</v>
      </c>
      <c r="B317" s="43" t="s">
        <v>24</v>
      </c>
      <c r="C317" s="44" t="s">
        <v>371</v>
      </c>
      <c r="D317" s="49" t="s">
        <v>218</v>
      </c>
      <c r="E317" s="18" t="s">
        <v>46</v>
      </c>
      <c r="F317" s="20">
        <v>45978</v>
      </c>
      <c r="G317" s="21">
        <f t="shared" si="35"/>
        <v>47</v>
      </c>
      <c r="H317" s="21" t="s">
        <v>369</v>
      </c>
      <c r="I317" s="79" t="str">
        <f t="shared" si="36"/>
        <v>11-2025</v>
      </c>
      <c r="J317" s="86" t="str">
        <f>(YEAR(F317)&amp;TEXT(Table1[[#This Row],[Week]],"00"))</f>
        <v>202547</v>
      </c>
      <c r="K317" s="79" t="str">
        <f>_xlfn.TEXTJOIN("-",TRUE,Table1[[#This Row],[Client]],Table1[[#This Row],[Budget ID]],Table1[[#This Row],[Ressource
'[Initials']]])</f>
        <v>Labflex-230003-1-GL</v>
      </c>
      <c r="L317" s="19" t="s">
        <v>440</v>
      </c>
      <c r="M317" s="22"/>
      <c r="N317" s="22"/>
      <c r="O317" s="23">
        <v>0.5</v>
      </c>
      <c r="P317" s="117" cm="1">
        <f t="array" ref="P317">_xlfn.XLOOKUP(Table1[[#This Row],[UID
'[Helper']]],Table2[[#All],[UID
'[Helper']]],Table2[[#All],[Rate
DKK]],"Not found :(",0,1)</f>
        <v>800</v>
      </c>
      <c r="Q317" s="117">
        <f t="shared" si="37"/>
        <v>400</v>
      </c>
      <c r="R317" s="118"/>
      <c r="S317" s="118"/>
    </row>
    <row r="318" spans="1:19" ht="13.5">
      <c r="A318" s="43" t="s">
        <v>14</v>
      </c>
      <c r="B318" s="43" t="s">
        <v>24</v>
      </c>
      <c r="C318" s="19" t="s">
        <v>72</v>
      </c>
      <c r="D318" s="71" t="s">
        <v>218</v>
      </c>
      <c r="E318" s="182" t="s">
        <v>37</v>
      </c>
      <c r="F318" s="20">
        <v>45978</v>
      </c>
      <c r="G318" s="21">
        <f t="shared" si="35"/>
        <v>47</v>
      </c>
      <c r="H318" s="21" t="s">
        <v>369</v>
      </c>
      <c r="I318" s="79" t="str">
        <f t="shared" si="36"/>
        <v>11-2025</v>
      </c>
      <c r="J318" s="86" t="str">
        <f>(YEAR(F318)&amp;TEXT(Table1[[#This Row],[Week]],"00"))</f>
        <v>202547</v>
      </c>
      <c r="K318" s="79" t="str">
        <f>_xlfn.TEXTJOIN("-",TRUE,Table1[[#This Row],[Client]],Table1[[#This Row],[Budget ID]],Table1[[#This Row],[Ressource
'[Initials']]])</f>
        <v>Labflex-230003-1-GL</v>
      </c>
      <c r="L318" s="19" t="s">
        <v>421</v>
      </c>
      <c r="M318" s="22"/>
      <c r="N318" s="22"/>
      <c r="O318" s="23">
        <v>0.5</v>
      </c>
      <c r="P318" s="117" cm="1">
        <f t="array" ref="P318">_xlfn.XLOOKUP(Table1[[#This Row],[UID
'[Helper']]],Table2[[#All],[UID
'[Helper']]],Table2[[#All],[Rate
DKK]],"Not found :(",0,1)</f>
        <v>800</v>
      </c>
      <c r="Q318" s="117">
        <f t="shared" si="37"/>
        <v>400</v>
      </c>
      <c r="R318" s="118"/>
      <c r="S318" s="118"/>
    </row>
    <row r="319" spans="1:19" ht="13.5">
      <c r="A319" s="43" t="s">
        <v>92</v>
      </c>
      <c r="B319" s="43" t="s">
        <v>269</v>
      </c>
      <c r="C319" s="19" t="s">
        <v>401</v>
      </c>
      <c r="D319" s="71">
        <v>250402</v>
      </c>
      <c r="E319" s="18" t="s">
        <v>46</v>
      </c>
      <c r="F319" s="20">
        <v>45978</v>
      </c>
      <c r="G319" s="21">
        <f t="shared" si="35"/>
        <v>47</v>
      </c>
      <c r="H319" s="21" t="s">
        <v>369</v>
      </c>
      <c r="I319" s="79" t="str">
        <f t="shared" si="36"/>
        <v>11-2025</v>
      </c>
      <c r="J319" s="86" t="str">
        <f>(YEAR(F319)&amp;TEXT(Table1[[#This Row],[Week]],"00"))</f>
        <v>202547</v>
      </c>
      <c r="K319" s="79" t="str">
        <f>_xlfn.TEXTJOIN("-",TRUE,Table1[[#This Row],[Client]],Table1[[#This Row],[Budget ID]],Table1[[#This Row],[Ressource
'[Initials']]])</f>
        <v>Novo Nordisk-250402-GL</v>
      </c>
      <c r="L319" s="19" t="s">
        <v>441</v>
      </c>
      <c r="M319" s="22"/>
      <c r="N319" s="22"/>
      <c r="O319" s="23">
        <v>3</v>
      </c>
      <c r="P319" s="117" cm="1">
        <f t="array" ref="P319">_xlfn.XLOOKUP(Table1[[#This Row],[UID
'[Helper']]],Table2[[#All],[UID
'[Helper']]],Table2[[#All],[Rate
DKK]],"Not found :(",0,1)</f>
        <v>900</v>
      </c>
      <c r="Q319" s="117">
        <f t="shared" si="37"/>
        <v>2700</v>
      </c>
      <c r="R319" s="118"/>
      <c r="S319" s="118"/>
    </row>
    <row r="320" spans="1:19">
      <c r="A320" s="182" t="s">
        <v>368</v>
      </c>
      <c r="B320" s="18" t="s">
        <v>448</v>
      </c>
      <c r="C320" s="19" t="s">
        <v>368</v>
      </c>
      <c r="D320" s="168">
        <v>250902</v>
      </c>
      <c r="E320" s="182" t="s">
        <v>79</v>
      </c>
      <c r="F320" s="20">
        <v>45978</v>
      </c>
      <c r="G320" s="21">
        <f t="shared" si="35"/>
        <v>47</v>
      </c>
      <c r="H320" s="21" t="s">
        <v>369</v>
      </c>
      <c r="I320" s="79" t="str">
        <f t="shared" si="36"/>
        <v>11-2025</v>
      </c>
      <c r="J320" s="86" t="str">
        <f>(YEAR(F320)&amp;TEXT(Table1[[#This Row],[Week]],"00"))</f>
        <v>202547</v>
      </c>
      <c r="K320" s="79" t="str">
        <f>_xlfn.TEXTJOIN("-",TRUE,Table1[[#This Row],[Client]],Table1[[#This Row],[Budget ID]],Table1[[#This Row],[Ressource
'[Initials']]])</f>
        <v>Kyodo Projects-250902-GL</v>
      </c>
      <c r="L320" s="19" t="s">
        <v>442</v>
      </c>
      <c r="M320" s="22"/>
      <c r="N320" s="22"/>
      <c r="O320" s="23">
        <v>3</v>
      </c>
      <c r="P320" s="117" cm="1">
        <f t="array" ref="P320">_xlfn.XLOOKUP(Table1[[#This Row],[UID
'[Helper']]],Table2[[#All],[UID
'[Helper']]],Table2[[#All],[Rate
DKK]],"Not found :(",0,1)</f>
        <v>900</v>
      </c>
      <c r="Q320" s="117">
        <f t="shared" si="37"/>
        <v>2700</v>
      </c>
      <c r="R320" s="118"/>
      <c r="S320" s="118"/>
    </row>
    <row r="321" spans="1:19" ht="13.5">
      <c r="A321" s="182" t="s">
        <v>107</v>
      </c>
      <c r="B321" s="182" t="s">
        <v>154</v>
      </c>
      <c r="C321" s="183"/>
      <c r="D321" s="49">
        <v>240021</v>
      </c>
      <c r="E321" s="182" t="s">
        <v>37</v>
      </c>
      <c r="F321" s="184">
        <v>45978</v>
      </c>
      <c r="G321" s="185">
        <f t="shared" si="35"/>
        <v>47</v>
      </c>
      <c r="H321" s="185" t="s">
        <v>54</v>
      </c>
      <c r="I321" s="79" t="str">
        <f t="shared" si="36"/>
        <v>11-2025</v>
      </c>
      <c r="J321" s="86" t="str">
        <f>(YEAR(F321)&amp;TEXT(Table1[[#This Row],[Week]],"00"))</f>
        <v>202547</v>
      </c>
      <c r="K321" s="79" t="str">
        <f>_xlfn.TEXTJOIN("-",TRUE,Table1[[#This Row],[Client]],Table1[[#This Row],[Budget ID]],Table1[[#This Row],[Ressource
'[Initials']]])</f>
        <v>Zystm-240021-ML</v>
      </c>
      <c r="L321" s="19"/>
      <c r="M321" s="22"/>
      <c r="N321" s="22"/>
      <c r="O321" s="23">
        <v>5</v>
      </c>
      <c r="P321" s="117" cm="1">
        <f t="array" ref="P321">_xlfn.XLOOKUP(Table1[[#This Row],[UID
'[Helper']]],Table2[[#All],[UID
'[Helper']]],Table2[[#All],[Rate
DKK]],"Not found :(",0,1)</f>
        <v>850</v>
      </c>
      <c r="Q321" s="117">
        <f t="shared" si="37"/>
        <v>4250</v>
      </c>
      <c r="R321" s="118"/>
      <c r="S321" s="118"/>
    </row>
    <row r="322" spans="1:19" ht="13.5">
      <c r="A322" s="182" t="s">
        <v>107</v>
      </c>
      <c r="B322" s="182" t="s">
        <v>153</v>
      </c>
      <c r="C322" s="183"/>
      <c r="D322" s="49">
        <v>240021</v>
      </c>
      <c r="E322" s="182" t="s">
        <v>37</v>
      </c>
      <c r="F322" s="184">
        <v>45978</v>
      </c>
      <c r="G322" s="185">
        <f t="shared" si="35"/>
        <v>47</v>
      </c>
      <c r="H322" s="185" t="s">
        <v>54</v>
      </c>
      <c r="I322" s="79" t="str">
        <f t="shared" si="36"/>
        <v>11-2025</v>
      </c>
      <c r="J322" s="86" t="str">
        <f>(YEAR(F322)&amp;TEXT(Table1[[#This Row],[Week]],"00"))</f>
        <v>202547</v>
      </c>
      <c r="K322" s="79" t="str">
        <f>_xlfn.TEXTJOIN("-",TRUE,Table1[[#This Row],[Client]],Table1[[#This Row],[Budget ID]],Table1[[#This Row],[Ressource
'[Initials']]])</f>
        <v>Zystm-240021-ML</v>
      </c>
      <c r="L322" s="19"/>
      <c r="M322" s="22"/>
      <c r="N322" s="22"/>
      <c r="O322" s="23">
        <v>1</v>
      </c>
      <c r="P322" s="117" cm="1">
        <f t="array" ref="P322">_xlfn.XLOOKUP(Table1[[#This Row],[UID
'[Helper']]],Table2[[#All],[UID
'[Helper']]],Table2[[#All],[Rate
DKK]],"Not found :(",0,1)</f>
        <v>850</v>
      </c>
      <c r="Q322" s="117">
        <f t="shared" si="37"/>
        <v>850</v>
      </c>
      <c r="R322" s="118"/>
      <c r="S322" s="118"/>
    </row>
    <row r="323" spans="1:19" ht="13.5">
      <c r="A323" s="186" t="s">
        <v>92</v>
      </c>
      <c r="B323" s="187" t="s">
        <v>269</v>
      </c>
      <c r="C323" s="188" t="s">
        <v>401</v>
      </c>
      <c r="D323" s="49">
        <v>250402</v>
      </c>
      <c r="E323" s="182" t="s">
        <v>46</v>
      </c>
      <c r="F323" s="184">
        <v>45978</v>
      </c>
      <c r="G323" s="21">
        <f t="shared" ref="G323:G365" si="38">WEEKNUM($F323,21)</f>
        <v>47</v>
      </c>
      <c r="H323" s="21" t="s">
        <v>54</v>
      </c>
      <c r="I323" s="79" t="str">
        <f t="shared" ref="I323:I365" si="39">(MONTH(F323)&amp;"-"&amp;YEAR(F323))</f>
        <v>11-2025</v>
      </c>
      <c r="J323" s="86" t="str">
        <f>(YEAR(F323)&amp;TEXT(Table1[[#This Row],[Week]],"00"))</f>
        <v>202547</v>
      </c>
      <c r="K323" s="79" t="str">
        <f>_xlfn.TEXTJOIN("-",TRUE,Table1[[#This Row],[Client]],Table1[[#This Row],[Budget ID]],Table1[[#This Row],[Ressource
'[Initials']]])</f>
        <v>Novo Nordisk-250402-ML</v>
      </c>
      <c r="L323" s="19"/>
      <c r="M323" s="22"/>
      <c r="N323" s="22"/>
      <c r="O323" s="23">
        <v>4.5</v>
      </c>
      <c r="P323" s="117" cm="1">
        <f t="array" ref="P323">_xlfn.XLOOKUP(Table1[[#This Row],[UID
'[Helper']]],Table2[[#All],[UID
'[Helper']]],Table2[[#All],[Rate
DKK]],"Not found :(",0,1)</f>
        <v>900</v>
      </c>
      <c r="Q323" s="117">
        <f t="shared" ref="Q323:Q365" si="40">IFERROR(O323*P323,0)</f>
        <v>4050</v>
      </c>
      <c r="R323" s="118"/>
      <c r="S323" s="118"/>
    </row>
    <row r="324" spans="1:19">
      <c r="A324" s="182" t="s">
        <v>368</v>
      </c>
      <c r="B324" s="18" t="s">
        <v>448</v>
      </c>
      <c r="C324" s="19" t="s">
        <v>368</v>
      </c>
      <c r="D324" s="168">
        <v>250902</v>
      </c>
      <c r="E324" s="182" t="s">
        <v>79</v>
      </c>
      <c r="F324" s="20">
        <v>45978</v>
      </c>
      <c r="G324" s="21">
        <f t="shared" si="38"/>
        <v>47</v>
      </c>
      <c r="H324" s="21" t="s">
        <v>54</v>
      </c>
      <c r="I324" s="79" t="str">
        <f t="shared" si="39"/>
        <v>11-2025</v>
      </c>
      <c r="J324" s="86" t="str">
        <f>(YEAR(F324)&amp;TEXT(Table1[[#This Row],[Week]],"00"))</f>
        <v>202547</v>
      </c>
      <c r="K324" s="79" t="str">
        <f>_xlfn.TEXTJOIN("-",TRUE,Table1[[#This Row],[Client]],Table1[[#This Row],[Budget ID]],Table1[[#This Row],[Ressource
'[Initials']]])</f>
        <v>Kyodo Projects-250902-ML</v>
      </c>
      <c r="L324" s="19" t="s">
        <v>278</v>
      </c>
      <c r="M324" s="22"/>
      <c r="N324" s="22"/>
      <c r="O324" s="23">
        <v>1.5</v>
      </c>
      <c r="P324" s="117" cm="1">
        <f t="array" ref="P324">_xlfn.XLOOKUP(Table1[[#This Row],[UID
'[Helper']]],Table2[[#All],[UID
'[Helper']]],Table2[[#All],[Rate
DKK]],"Not found :(",0,1)</f>
        <v>900</v>
      </c>
      <c r="Q324" s="117">
        <f t="shared" si="40"/>
        <v>1350</v>
      </c>
      <c r="R324" s="118"/>
      <c r="S324" s="118" t="s">
        <v>365</v>
      </c>
    </row>
    <row r="325" spans="1:19">
      <c r="A325" s="182" t="s">
        <v>368</v>
      </c>
      <c r="B325" s="18" t="s">
        <v>448</v>
      </c>
      <c r="C325" s="19" t="s">
        <v>368</v>
      </c>
      <c r="D325" s="168">
        <v>250902</v>
      </c>
      <c r="E325" s="182" t="s">
        <v>79</v>
      </c>
      <c r="F325" s="20">
        <v>45978</v>
      </c>
      <c r="G325" s="21">
        <f t="shared" si="38"/>
        <v>47</v>
      </c>
      <c r="H325" s="21" t="s">
        <v>54</v>
      </c>
      <c r="I325" s="79" t="str">
        <f t="shared" si="39"/>
        <v>11-2025</v>
      </c>
      <c r="J325" s="86" t="str">
        <f>(YEAR(F325)&amp;TEXT(Table1[[#This Row],[Week]],"00"))</f>
        <v>202547</v>
      </c>
      <c r="K325" s="79" t="str">
        <f>_xlfn.TEXTJOIN("-",TRUE,Table1[[#This Row],[Client]],Table1[[#This Row],[Budget ID]],Table1[[#This Row],[Ressource
'[Initials']]])</f>
        <v>Kyodo Projects-250902-ML</v>
      </c>
      <c r="L325" s="19" t="s">
        <v>436</v>
      </c>
      <c r="M325" s="22"/>
      <c r="N325" s="22"/>
      <c r="O325" s="23">
        <v>1.5</v>
      </c>
      <c r="P325" s="117" cm="1">
        <f t="array" ref="P325">_xlfn.XLOOKUP(Table1[[#This Row],[UID
'[Helper']]],Table2[[#All],[UID
'[Helper']]],Table2[[#All],[Rate
DKK]],"Not found :(",0,1)</f>
        <v>900</v>
      </c>
      <c r="Q325" s="117">
        <f t="shared" si="40"/>
        <v>1350</v>
      </c>
      <c r="R325" s="118"/>
      <c r="S325" s="118" t="s">
        <v>366</v>
      </c>
    </row>
    <row r="326" spans="1:19" ht="27">
      <c r="A326" s="43" t="s">
        <v>92</v>
      </c>
      <c r="B326" s="43" t="s">
        <v>269</v>
      </c>
      <c r="C326" s="19" t="s">
        <v>400</v>
      </c>
      <c r="D326" s="71">
        <v>250402</v>
      </c>
      <c r="E326" s="18" t="s">
        <v>46</v>
      </c>
      <c r="F326" s="20">
        <v>45979</v>
      </c>
      <c r="G326" s="21">
        <f t="shared" si="38"/>
        <v>47</v>
      </c>
      <c r="H326" s="21" t="s">
        <v>22</v>
      </c>
      <c r="I326" s="79" t="str">
        <f t="shared" si="39"/>
        <v>11-2025</v>
      </c>
      <c r="J326" s="86" t="str">
        <f>(YEAR(F326)&amp;TEXT(Table1[[#This Row],[Week]],"00"))</f>
        <v>202547</v>
      </c>
      <c r="K326" s="79" t="str">
        <f>_xlfn.TEXTJOIN("-",TRUE,Table1[[#This Row],[Client]],Table1[[#This Row],[Budget ID]],Table1[[#This Row],[Ressource
'[Initials']]])</f>
        <v>Novo Nordisk-250402-MS</v>
      </c>
      <c r="L326" s="19" t="s">
        <v>414</v>
      </c>
      <c r="M326" s="22"/>
      <c r="N326" s="22"/>
      <c r="O326" s="23">
        <v>4</v>
      </c>
      <c r="P326" s="117" cm="1">
        <f t="array" ref="P326">_xlfn.XLOOKUP(Table1[[#This Row],[UID
'[Helper']]],Table2[[#All],[UID
'[Helper']]],Table2[[#All],[Rate
DKK]],"Not found :(",0,1)</f>
        <v>900</v>
      </c>
      <c r="Q326" s="117">
        <f t="shared" si="40"/>
        <v>3600</v>
      </c>
      <c r="R326" s="118"/>
      <c r="S326" s="118"/>
    </row>
    <row r="327" spans="1:19" ht="13.5">
      <c r="A327" s="18" t="s">
        <v>92</v>
      </c>
      <c r="B327" s="18" t="s">
        <v>269</v>
      </c>
      <c r="C327" s="19" t="s">
        <v>401</v>
      </c>
      <c r="D327" s="49">
        <v>250402</v>
      </c>
      <c r="E327" s="18" t="s">
        <v>46</v>
      </c>
      <c r="F327" s="20">
        <v>45979</v>
      </c>
      <c r="G327" s="21">
        <f t="shared" si="38"/>
        <v>47</v>
      </c>
      <c r="H327" s="21" t="s">
        <v>22</v>
      </c>
      <c r="I327" s="79" t="str">
        <f t="shared" si="39"/>
        <v>11-2025</v>
      </c>
      <c r="J327" s="86" t="str">
        <f>(YEAR(F327)&amp;TEXT(Table1[[#This Row],[Week]],"00"))</f>
        <v>202547</v>
      </c>
      <c r="K327" s="79" t="str">
        <f>_xlfn.TEXTJOIN("-",TRUE,Table1[[#This Row],[Client]],Table1[[#This Row],[Budget ID]],Table1[[#This Row],[Ressource
'[Initials']]])</f>
        <v>Novo Nordisk-250402-MS</v>
      </c>
      <c r="L327" s="19" t="s">
        <v>412</v>
      </c>
      <c r="M327" s="22"/>
      <c r="N327" s="22"/>
      <c r="O327" s="23">
        <v>3</v>
      </c>
      <c r="P327" s="117" cm="1">
        <f t="array" ref="P327">_xlfn.XLOOKUP(Table1[[#This Row],[UID
'[Helper']]],Table2[[#All],[UID
'[Helper']]],Table2[[#All],[Rate
DKK]],"Not found :(",0,1)</f>
        <v>900</v>
      </c>
      <c r="Q327" s="117">
        <f t="shared" si="40"/>
        <v>2700</v>
      </c>
      <c r="R327" s="118"/>
      <c r="S327" s="118"/>
    </row>
    <row r="328" spans="1:19" ht="27">
      <c r="A328" s="18" t="s">
        <v>14</v>
      </c>
      <c r="B328" s="18" t="s">
        <v>24</v>
      </c>
      <c r="C328" s="19" t="s">
        <v>268</v>
      </c>
      <c r="D328" s="49" t="s">
        <v>218</v>
      </c>
      <c r="E328" s="18" t="s">
        <v>79</v>
      </c>
      <c r="F328" s="20">
        <v>45979</v>
      </c>
      <c r="G328" s="21">
        <f t="shared" si="38"/>
        <v>47</v>
      </c>
      <c r="H328" s="21" t="s">
        <v>22</v>
      </c>
      <c r="I328" s="79" t="str">
        <f t="shared" si="39"/>
        <v>11-2025</v>
      </c>
      <c r="J328" s="86" t="str">
        <f>(YEAR(F328)&amp;TEXT(Table1[[#This Row],[Week]],"00"))</f>
        <v>202547</v>
      </c>
      <c r="K328" s="79" t="str">
        <f>_xlfn.TEXTJOIN("-",TRUE,Table1[[#This Row],[Client]],Table1[[#This Row],[Budget ID]],Table1[[#This Row],[Ressource
'[Initials']]])</f>
        <v>Labflex-230003-1-MS</v>
      </c>
      <c r="L328" s="19" t="s">
        <v>416</v>
      </c>
      <c r="M328" s="22"/>
      <c r="N328" s="22"/>
      <c r="O328" s="23">
        <v>1.5</v>
      </c>
      <c r="P328" s="117" cm="1">
        <f t="array" ref="P328">_xlfn.XLOOKUP(Table1[[#This Row],[UID
'[Helper']]],Table2[[#All],[UID
'[Helper']]],Table2[[#All],[Rate
DKK]],"Not found :(",0,1)</f>
        <v>900</v>
      </c>
      <c r="Q328" s="117">
        <f t="shared" si="40"/>
        <v>1350</v>
      </c>
      <c r="R328" s="118"/>
      <c r="S328" s="118"/>
    </row>
    <row r="329" spans="1:19" ht="13.5">
      <c r="A329" s="18" t="s">
        <v>14</v>
      </c>
      <c r="B329" s="18" t="s">
        <v>24</v>
      </c>
      <c r="C329" s="19" t="s">
        <v>273</v>
      </c>
      <c r="D329" s="49" t="s">
        <v>218</v>
      </c>
      <c r="E329" s="18" t="s">
        <v>79</v>
      </c>
      <c r="F329" s="20">
        <v>45979</v>
      </c>
      <c r="G329" s="21">
        <f t="shared" si="38"/>
        <v>47</v>
      </c>
      <c r="H329" s="21" t="s">
        <v>22</v>
      </c>
      <c r="I329" s="79" t="str">
        <f t="shared" si="39"/>
        <v>11-2025</v>
      </c>
      <c r="J329" s="86" t="str">
        <f>(YEAR(F329)&amp;TEXT(Table1[[#This Row],[Week]],"00"))</f>
        <v>202547</v>
      </c>
      <c r="K329" s="79" t="str">
        <f>_xlfn.TEXTJOIN("-",TRUE,Table1[[#This Row],[Client]],Table1[[#This Row],[Budget ID]],Table1[[#This Row],[Ressource
'[Initials']]])</f>
        <v>Labflex-230003-1-MS</v>
      </c>
      <c r="L329" s="19" t="s">
        <v>415</v>
      </c>
      <c r="M329" s="22"/>
      <c r="N329" s="22"/>
      <c r="O329" s="23">
        <v>1</v>
      </c>
      <c r="P329" s="117" cm="1">
        <f t="array" ref="P329">_xlfn.XLOOKUP(Table1[[#This Row],[UID
'[Helper']]],Table2[[#All],[UID
'[Helper']]],Table2[[#All],[Rate
DKK]],"Not found :(",0,1)</f>
        <v>900</v>
      </c>
      <c r="Q329" s="117">
        <f t="shared" si="40"/>
        <v>900</v>
      </c>
      <c r="R329" s="118"/>
      <c r="S329" s="118"/>
    </row>
    <row r="330" spans="1:19" ht="13.5">
      <c r="A330" s="18" t="s">
        <v>14</v>
      </c>
      <c r="B330" s="18" t="s">
        <v>24</v>
      </c>
      <c r="C330" s="19" t="s">
        <v>277</v>
      </c>
      <c r="D330" s="49" t="s">
        <v>218</v>
      </c>
      <c r="E330" s="18" t="s">
        <v>79</v>
      </c>
      <c r="F330" s="20">
        <v>45979</v>
      </c>
      <c r="G330" s="21">
        <f t="shared" si="38"/>
        <v>47</v>
      </c>
      <c r="H330" s="21" t="s">
        <v>22</v>
      </c>
      <c r="I330" s="79" t="str">
        <f t="shared" si="39"/>
        <v>11-2025</v>
      </c>
      <c r="J330" s="86" t="str">
        <f>(YEAR(F330)&amp;TEXT(Table1[[#This Row],[Week]],"00"))</f>
        <v>202547</v>
      </c>
      <c r="K330" s="79" t="str">
        <f>_xlfn.TEXTJOIN("-",TRUE,Table1[[#This Row],[Client]],Table1[[#This Row],[Budget ID]],Table1[[#This Row],[Ressource
'[Initials']]])</f>
        <v>Labflex-230003-1-MS</v>
      </c>
      <c r="L330" s="19" t="s">
        <v>415</v>
      </c>
      <c r="M330" s="22"/>
      <c r="N330" s="22"/>
      <c r="O330" s="23">
        <v>1</v>
      </c>
      <c r="P330" s="117" cm="1">
        <f t="array" ref="P330">_xlfn.XLOOKUP(Table1[[#This Row],[UID
'[Helper']]],Table2[[#All],[UID
'[Helper']]],Table2[[#All],[Rate
DKK]],"Not found :(",0,1)</f>
        <v>900</v>
      </c>
      <c r="Q330" s="117">
        <f t="shared" si="40"/>
        <v>900</v>
      </c>
      <c r="R330" s="118"/>
      <c r="S330" s="118"/>
    </row>
    <row r="331" spans="1:19" ht="27">
      <c r="A331" s="42" t="s">
        <v>14</v>
      </c>
      <c r="B331" s="43" t="s">
        <v>24</v>
      </c>
      <c r="C331" s="44" t="s">
        <v>371</v>
      </c>
      <c r="D331" s="49" t="s">
        <v>218</v>
      </c>
      <c r="E331" s="18" t="s">
        <v>46</v>
      </c>
      <c r="F331" s="20">
        <v>45979</v>
      </c>
      <c r="G331" s="21">
        <f t="shared" si="38"/>
        <v>47</v>
      </c>
      <c r="H331" s="21" t="s">
        <v>22</v>
      </c>
      <c r="I331" s="79" t="str">
        <f t="shared" si="39"/>
        <v>11-2025</v>
      </c>
      <c r="J331" s="86" t="str">
        <f>(YEAR(F331)&amp;TEXT(Table1[[#This Row],[Week]],"00"))</f>
        <v>202547</v>
      </c>
      <c r="K331" s="79" t="str">
        <f>_xlfn.TEXTJOIN("-",TRUE,Table1[[#This Row],[Client]],Table1[[#This Row],[Budget ID]],Table1[[#This Row],[Ressource
'[Initials']]])</f>
        <v>Labflex-230003-1-MS</v>
      </c>
      <c r="L331" s="19" t="s">
        <v>417</v>
      </c>
      <c r="M331" s="22"/>
      <c r="N331" s="22"/>
      <c r="O331" s="23">
        <v>2</v>
      </c>
      <c r="P331" s="117" cm="1">
        <f t="array" ref="P331">_xlfn.XLOOKUP(Table1[[#This Row],[UID
'[Helper']]],Table2[[#All],[UID
'[Helper']]],Table2[[#All],[Rate
DKK]],"Not found :(",0,1)</f>
        <v>900</v>
      </c>
      <c r="Q331" s="117">
        <f t="shared" si="40"/>
        <v>1800</v>
      </c>
      <c r="R331" s="118"/>
      <c r="S331" s="118"/>
    </row>
    <row r="332" spans="1:19" ht="13.5">
      <c r="A332" s="43" t="s">
        <v>14</v>
      </c>
      <c r="B332" s="43" t="s">
        <v>24</v>
      </c>
      <c r="C332" s="19" t="s">
        <v>72</v>
      </c>
      <c r="D332" s="71" t="s">
        <v>218</v>
      </c>
      <c r="E332" s="18" t="s">
        <v>37</v>
      </c>
      <c r="F332" s="20">
        <v>45979</v>
      </c>
      <c r="G332" s="21">
        <f t="shared" si="38"/>
        <v>47</v>
      </c>
      <c r="H332" s="21" t="s">
        <v>22</v>
      </c>
      <c r="I332" s="79" t="str">
        <f t="shared" si="39"/>
        <v>11-2025</v>
      </c>
      <c r="J332" s="86" t="str">
        <f>(YEAR(F332)&amp;TEXT(Table1[[#This Row],[Week]],"00"))</f>
        <v>202547</v>
      </c>
      <c r="K332" s="79" t="str">
        <f>_xlfn.TEXTJOIN("-",TRUE,Table1[[#This Row],[Client]],Table1[[#This Row],[Budget ID]],Table1[[#This Row],[Ressource
'[Initials']]])</f>
        <v>Labflex-230003-1-MS</v>
      </c>
      <c r="L332" s="19" t="s">
        <v>420</v>
      </c>
      <c r="M332" s="22"/>
      <c r="N332" s="22"/>
      <c r="O332" s="23">
        <v>1</v>
      </c>
      <c r="P332" s="117" cm="1">
        <f t="array" ref="P332">_xlfn.XLOOKUP(Table1[[#This Row],[UID
'[Helper']]],Table2[[#All],[UID
'[Helper']]],Table2[[#All],[Rate
DKK]],"Not found :(",0,1)</f>
        <v>900</v>
      </c>
      <c r="Q332" s="117">
        <f t="shared" si="40"/>
        <v>900</v>
      </c>
      <c r="R332" s="118"/>
      <c r="S332" s="118"/>
    </row>
    <row r="333" spans="1:19" ht="13.5">
      <c r="A333" s="43" t="s">
        <v>14</v>
      </c>
      <c r="B333" s="43" t="s">
        <v>24</v>
      </c>
      <c r="C333" s="19" t="s">
        <v>71</v>
      </c>
      <c r="D333" s="71" t="s">
        <v>218</v>
      </c>
      <c r="E333" s="18" t="s">
        <v>37</v>
      </c>
      <c r="F333" s="20">
        <v>45979</v>
      </c>
      <c r="G333" s="21">
        <f t="shared" si="38"/>
        <v>47</v>
      </c>
      <c r="H333" s="21" t="s">
        <v>22</v>
      </c>
      <c r="I333" s="79" t="str">
        <f t="shared" si="39"/>
        <v>11-2025</v>
      </c>
      <c r="J333" s="86" t="str">
        <f>(YEAR(F333)&amp;TEXT(Table1[[#This Row],[Week]],"00"))</f>
        <v>202547</v>
      </c>
      <c r="K333" s="79" t="str">
        <f>_xlfn.TEXTJOIN("-",TRUE,Table1[[#This Row],[Client]],Table1[[#This Row],[Budget ID]],Table1[[#This Row],[Ressource
'[Initials']]])</f>
        <v>Labflex-230003-1-MS</v>
      </c>
      <c r="L333" s="19" t="s">
        <v>420</v>
      </c>
      <c r="M333" s="22"/>
      <c r="N333" s="22"/>
      <c r="O333" s="23">
        <v>0.5</v>
      </c>
      <c r="P333" s="117" cm="1">
        <f t="array" ref="P333">_xlfn.XLOOKUP(Table1[[#This Row],[UID
'[Helper']]],Table2[[#All],[UID
'[Helper']]],Table2[[#All],[Rate
DKK]],"Not found :(",0,1)</f>
        <v>900</v>
      </c>
      <c r="Q333" s="117">
        <f t="shared" si="40"/>
        <v>450</v>
      </c>
      <c r="R333" s="118"/>
      <c r="S333" s="118"/>
    </row>
    <row r="334" spans="1:19" ht="13.5">
      <c r="A334" s="18" t="s">
        <v>92</v>
      </c>
      <c r="B334" s="18" t="s">
        <v>269</v>
      </c>
      <c r="C334" s="19" t="s">
        <v>400</v>
      </c>
      <c r="D334" s="49">
        <v>250402</v>
      </c>
      <c r="E334" s="18" t="s">
        <v>46</v>
      </c>
      <c r="F334" s="20">
        <v>45979</v>
      </c>
      <c r="G334" s="21">
        <f t="shared" si="38"/>
        <v>47</v>
      </c>
      <c r="H334" s="21" t="s">
        <v>20</v>
      </c>
      <c r="I334" s="79" t="str">
        <f t="shared" si="39"/>
        <v>11-2025</v>
      </c>
      <c r="J334" s="86" t="str">
        <f>(YEAR(F334)&amp;TEXT(Table1[[#This Row],[Week]],"00"))</f>
        <v>202547</v>
      </c>
      <c r="K334" s="79" t="str">
        <f>_xlfn.TEXTJOIN("-",TRUE,Table1[[#This Row],[Client]],Table1[[#This Row],[Budget ID]],Table1[[#This Row],[Ressource
'[Initials']]])</f>
        <v>Novo Nordisk-250402-DS</v>
      </c>
      <c r="L334" s="19" t="s">
        <v>411</v>
      </c>
      <c r="M334" s="22"/>
      <c r="N334" s="22"/>
      <c r="O334" s="23">
        <v>3</v>
      </c>
      <c r="P334" s="117" cm="1">
        <f t="array" ref="P334">_xlfn.XLOOKUP(Table1[[#This Row],[UID
'[Helper']]],Table2[[#All],[UID
'[Helper']]],Table2[[#All],[Rate
DKK]],"Not found :(",0,1)</f>
        <v>900</v>
      </c>
      <c r="Q334" s="117">
        <f t="shared" si="40"/>
        <v>2700</v>
      </c>
      <c r="R334" s="118"/>
      <c r="S334" s="118"/>
    </row>
    <row r="335" spans="1:19" ht="40.5">
      <c r="A335" s="43" t="s">
        <v>92</v>
      </c>
      <c r="B335" s="43" t="s">
        <v>269</v>
      </c>
      <c r="C335" s="19" t="s">
        <v>401</v>
      </c>
      <c r="D335" s="71">
        <v>250402</v>
      </c>
      <c r="E335" s="18" t="s">
        <v>46</v>
      </c>
      <c r="F335" s="20">
        <v>45979</v>
      </c>
      <c r="G335" s="21">
        <f t="shared" si="38"/>
        <v>47</v>
      </c>
      <c r="H335" s="21" t="s">
        <v>20</v>
      </c>
      <c r="I335" s="79" t="str">
        <f t="shared" si="39"/>
        <v>11-2025</v>
      </c>
      <c r="J335" s="86" t="str">
        <f>(YEAR(F335)&amp;TEXT(Table1[[#This Row],[Week]],"00"))</f>
        <v>202547</v>
      </c>
      <c r="K335" s="79" t="str">
        <f>_xlfn.TEXTJOIN("-",TRUE,Table1[[#This Row],[Client]],Table1[[#This Row],[Budget ID]],Table1[[#This Row],[Ressource
'[Initials']]])</f>
        <v>Novo Nordisk-250402-DS</v>
      </c>
      <c r="L335" s="19" t="s">
        <v>413</v>
      </c>
      <c r="M335" s="22"/>
      <c r="N335" s="22"/>
      <c r="O335" s="23">
        <v>8</v>
      </c>
      <c r="P335" s="117" cm="1">
        <f t="array" ref="P335">_xlfn.XLOOKUP(Table1[[#This Row],[UID
'[Helper']]],Table2[[#All],[UID
'[Helper']]],Table2[[#All],[Rate
DKK]],"Not found :(",0,1)</f>
        <v>900</v>
      </c>
      <c r="Q335" s="117">
        <f t="shared" si="40"/>
        <v>7200</v>
      </c>
      <c r="R335" s="118"/>
      <c r="S335" s="118"/>
    </row>
    <row r="336" spans="1:19" ht="13.5">
      <c r="A336" s="43" t="s">
        <v>14</v>
      </c>
      <c r="B336" s="43" t="s">
        <v>24</v>
      </c>
      <c r="C336" s="19" t="s">
        <v>277</v>
      </c>
      <c r="D336" s="71" t="s">
        <v>218</v>
      </c>
      <c r="E336" s="18" t="s">
        <v>79</v>
      </c>
      <c r="F336" s="20">
        <v>45979</v>
      </c>
      <c r="G336" s="21">
        <f t="shared" si="38"/>
        <v>47</v>
      </c>
      <c r="H336" s="21" t="s">
        <v>369</v>
      </c>
      <c r="I336" s="79" t="str">
        <f t="shared" si="39"/>
        <v>11-2025</v>
      </c>
      <c r="J336" s="86" t="str">
        <f>(YEAR(F336)&amp;TEXT(Table1[[#This Row],[Week]],"00"))</f>
        <v>202547</v>
      </c>
      <c r="K336" s="79" t="str">
        <f>_xlfn.TEXTJOIN("-",TRUE,Table1[[#This Row],[Client]],Table1[[#This Row],[Budget ID]],Table1[[#This Row],[Ressource
'[Initials']]])</f>
        <v>Labflex-230003-1-GL</v>
      </c>
      <c r="L336" s="19" t="s">
        <v>418</v>
      </c>
      <c r="M336" s="22"/>
      <c r="N336" s="22"/>
      <c r="O336" s="23">
        <v>0.5</v>
      </c>
      <c r="P336" s="117" cm="1">
        <f t="array" ref="P336">_xlfn.XLOOKUP(Table1[[#This Row],[UID
'[Helper']]],Table2[[#All],[UID
'[Helper']]],Table2[[#All],[Rate
DKK]],"Not found :(",0,1)</f>
        <v>800</v>
      </c>
      <c r="Q336" s="117">
        <f t="shared" si="40"/>
        <v>400</v>
      </c>
      <c r="R336" s="118"/>
      <c r="S336" s="118"/>
    </row>
    <row r="337" spans="1:19" ht="13.5">
      <c r="A337" s="18" t="s">
        <v>14</v>
      </c>
      <c r="B337" s="18" t="s">
        <v>24</v>
      </c>
      <c r="C337" s="19" t="s">
        <v>371</v>
      </c>
      <c r="D337" s="49" t="s">
        <v>218</v>
      </c>
      <c r="E337" s="18" t="s">
        <v>46</v>
      </c>
      <c r="F337" s="20">
        <v>45979</v>
      </c>
      <c r="G337" s="21">
        <f t="shared" si="38"/>
        <v>47</v>
      </c>
      <c r="H337" s="21" t="s">
        <v>369</v>
      </c>
      <c r="I337" s="79" t="str">
        <f t="shared" si="39"/>
        <v>11-2025</v>
      </c>
      <c r="J337" s="86" t="str">
        <f>(YEAR(F337)&amp;TEXT(Table1[[#This Row],[Week]],"00"))</f>
        <v>202547</v>
      </c>
      <c r="K337" s="79" t="str">
        <f>_xlfn.TEXTJOIN("-",TRUE,Table1[[#This Row],[Client]],Table1[[#This Row],[Budget ID]],Table1[[#This Row],[Ressource
'[Initials']]])</f>
        <v>Labflex-230003-1-GL</v>
      </c>
      <c r="L337" s="19" t="s">
        <v>419</v>
      </c>
      <c r="M337" s="22"/>
      <c r="N337" s="22"/>
      <c r="O337" s="23">
        <v>9</v>
      </c>
      <c r="P337" s="117" cm="1">
        <f t="array" ref="P337">_xlfn.XLOOKUP(Table1[[#This Row],[UID
'[Helper']]],Table2[[#All],[UID
'[Helper']]],Table2[[#All],[Rate
DKK]],"Not found :(",0,1)</f>
        <v>800</v>
      </c>
      <c r="Q337" s="117">
        <f t="shared" si="40"/>
        <v>7200</v>
      </c>
      <c r="R337" s="118"/>
      <c r="S337" s="118"/>
    </row>
    <row r="338" spans="1:19" ht="13.5">
      <c r="A338" s="18" t="s">
        <v>14</v>
      </c>
      <c r="B338" s="18" t="s">
        <v>24</v>
      </c>
      <c r="C338" s="19" t="s">
        <v>72</v>
      </c>
      <c r="D338" s="49" t="s">
        <v>218</v>
      </c>
      <c r="E338" s="182" t="s">
        <v>37</v>
      </c>
      <c r="F338" s="20">
        <v>45979</v>
      </c>
      <c r="G338" s="21">
        <f t="shared" si="38"/>
        <v>47</v>
      </c>
      <c r="H338" s="21" t="s">
        <v>369</v>
      </c>
      <c r="I338" s="79" t="str">
        <f t="shared" si="39"/>
        <v>11-2025</v>
      </c>
      <c r="J338" s="86" t="str">
        <f>(YEAR(F338)&amp;TEXT(Table1[[#This Row],[Week]],"00"))</f>
        <v>202547</v>
      </c>
      <c r="K338" s="79" t="str">
        <f>_xlfn.TEXTJOIN("-",TRUE,Table1[[#This Row],[Client]],Table1[[#This Row],[Budget ID]],Table1[[#This Row],[Ressource
'[Initials']]])</f>
        <v>Labflex-230003-1-GL</v>
      </c>
      <c r="L338" s="19" t="s">
        <v>421</v>
      </c>
      <c r="M338" s="22"/>
      <c r="N338" s="22"/>
      <c r="O338" s="23">
        <v>0.5</v>
      </c>
      <c r="P338" s="117" cm="1">
        <f t="array" ref="P338">_xlfn.XLOOKUP(Table1[[#This Row],[UID
'[Helper']]],Table2[[#All],[UID
'[Helper']]],Table2[[#All],[Rate
DKK]],"Not found :(",0,1)</f>
        <v>800</v>
      </c>
      <c r="Q338" s="117">
        <f t="shared" si="40"/>
        <v>400</v>
      </c>
      <c r="R338" s="118"/>
      <c r="S338" s="118"/>
    </row>
    <row r="339" spans="1:19" ht="13.5">
      <c r="A339" s="182" t="s">
        <v>107</v>
      </c>
      <c r="B339" s="182" t="s">
        <v>154</v>
      </c>
      <c r="C339" s="183"/>
      <c r="D339" s="49">
        <v>240021</v>
      </c>
      <c r="E339" s="182" t="s">
        <v>37</v>
      </c>
      <c r="F339" s="184">
        <v>45979</v>
      </c>
      <c r="G339" s="185">
        <f t="shared" si="38"/>
        <v>47</v>
      </c>
      <c r="H339" s="185" t="s">
        <v>54</v>
      </c>
      <c r="I339" s="79" t="str">
        <f t="shared" si="39"/>
        <v>11-2025</v>
      </c>
      <c r="J339" s="86" t="str">
        <f>(YEAR(F339)&amp;TEXT(Table1[[#This Row],[Week]],"00"))</f>
        <v>202547</v>
      </c>
      <c r="K339" s="79" t="str">
        <f>_xlfn.TEXTJOIN("-",TRUE,Table1[[#This Row],[Client]],Table1[[#This Row],[Budget ID]],Table1[[#This Row],[Ressource
'[Initials']]])</f>
        <v>Zystm-240021-ML</v>
      </c>
      <c r="L339" s="19"/>
      <c r="M339" s="22"/>
      <c r="N339" s="22"/>
      <c r="O339" s="23">
        <v>1.5</v>
      </c>
      <c r="P339" s="117" cm="1">
        <f t="array" ref="P339">_xlfn.XLOOKUP(Table1[[#This Row],[UID
'[Helper']]],Table2[[#All],[UID
'[Helper']]],Table2[[#All],[Rate
DKK]],"Not found :(",0,1)</f>
        <v>850</v>
      </c>
      <c r="Q339" s="117">
        <f t="shared" si="40"/>
        <v>1275</v>
      </c>
      <c r="R339" s="118"/>
      <c r="S339" s="118"/>
    </row>
    <row r="340" spans="1:19" ht="13.5">
      <c r="A340" s="182" t="s">
        <v>107</v>
      </c>
      <c r="B340" s="182" t="s">
        <v>153</v>
      </c>
      <c r="C340" s="183"/>
      <c r="D340" s="49">
        <v>240021</v>
      </c>
      <c r="E340" s="182" t="s">
        <v>37</v>
      </c>
      <c r="F340" s="184">
        <v>45979</v>
      </c>
      <c r="G340" s="185">
        <f t="shared" si="38"/>
        <v>47</v>
      </c>
      <c r="H340" s="185" t="s">
        <v>54</v>
      </c>
      <c r="I340" s="79" t="str">
        <f t="shared" si="39"/>
        <v>11-2025</v>
      </c>
      <c r="J340" s="86" t="str">
        <f>(YEAR(F340)&amp;TEXT(Table1[[#This Row],[Week]],"00"))</f>
        <v>202547</v>
      </c>
      <c r="K340" s="79" t="str">
        <f>_xlfn.TEXTJOIN("-",TRUE,Table1[[#This Row],[Client]],Table1[[#This Row],[Budget ID]],Table1[[#This Row],[Ressource
'[Initials']]])</f>
        <v>Zystm-240021-ML</v>
      </c>
      <c r="L340" s="19"/>
      <c r="M340" s="22"/>
      <c r="N340" s="22"/>
      <c r="O340" s="23">
        <v>0.5</v>
      </c>
      <c r="P340" s="117" cm="1">
        <f t="array" ref="P340">_xlfn.XLOOKUP(Table1[[#This Row],[UID
'[Helper']]],Table2[[#All],[UID
'[Helper']]],Table2[[#All],[Rate
DKK]],"Not found :(",0,1)</f>
        <v>850</v>
      </c>
      <c r="Q340" s="117">
        <f t="shared" si="40"/>
        <v>425</v>
      </c>
      <c r="R340" s="118"/>
      <c r="S340" s="118"/>
    </row>
    <row r="341" spans="1:19" ht="13.5">
      <c r="A341" s="182" t="s">
        <v>92</v>
      </c>
      <c r="B341" s="182" t="s">
        <v>269</v>
      </c>
      <c r="C341" s="183" t="s">
        <v>401</v>
      </c>
      <c r="D341" s="49">
        <v>250402</v>
      </c>
      <c r="E341" s="182" t="s">
        <v>46</v>
      </c>
      <c r="F341" s="184">
        <v>45979</v>
      </c>
      <c r="G341" s="21">
        <f t="shared" si="38"/>
        <v>47</v>
      </c>
      <c r="H341" s="21" t="s">
        <v>54</v>
      </c>
      <c r="I341" s="79" t="str">
        <f t="shared" si="39"/>
        <v>11-2025</v>
      </c>
      <c r="J341" s="86" t="str">
        <f>(YEAR(F341)&amp;TEXT(Table1[[#This Row],[Week]],"00"))</f>
        <v>202547</v>
      </c>
      <c r="K341" s="79" t="str">
        <f>_xlfn.TEXTJOIN("-",TRUE,Table1[[#This Row],[Client]],Table1[[#This Row],[Budget ID]],Table1[[#This Row],[Ressource
'[Initials']]])</f>
        <v>Novo Nordisk-250402-ML</v>
      </c>
      <c r="L341" s="19"/>
      <c r="M341" s="22"/>
      <c r="N341" s="22"/>
      <c r="O341" s="23">
        <v>8</v>
      </c>
      <c r="P341" s="117" cm="1">
        <f t="array" ref="P341">_xlfn.XLOOKUP(Table1[[#This Row],[UID
'[Helper']]],Table2[[#All],[UID
'[Helper']]],Table2[[#All],[Rate
DKK]],"Not found :(",0,1)</f>
        <v>900</v>
      </c>
      <c r="Q341" s="117">
        <f t="shared" si="40"/>
        <v>7200</v>
      </c>
      <c r="R341" s="118"/>
      <c r="S341" s="118"/>
    </row>
    <row r="342" spans="1:19">
      <c r="A342" s="182" t="s">
        <v>368</v>
      </c>
      <c r="B342" s="18" t="s">
        <v>448</v>
      </c>
      <c r="C342" s="19" t="s">
        <v>368</v>
      </c>
      <c r="D342" s="168">
        <v>250902</v>
      </c>
      <c r="E342" s="182" t="s">
        <v>79</v>
      </c>
      <c r="F342" s="20">
        <v>45979</v>
      </c>
      <c r="G342" s="21">
        <f t="shared" si="38"/>
        <v>47</v>
      </c>
      <c r="H342" s="21" t="s">
        <v>369</v>
      </c>
      <c r="I342" s="79" t="str">
        <f t="shared" si="39"/>
        <v>11-2025</v>
      </c>
      <c r="J342" s="86" t="str">
        <f>(YEAR(F342)&amp;TEXT(Table1[[#This Row],[Week]],"00"))</f>
        <v>202547</v>
      </c>
      <c r="K342" s="79" t="str">
        <f>_xlfn.TEXTJOIN("-",TRUE,Table1[[#This Row],[Client]],Table1[[#This Row],[Budget ID]],Table1[[#This Row],[Ressource
'[Initials']]])</f>
        <v>Kyodo Projects-250902-GL</v>
      </c>
      <c r="L342" s="19" t="s">
        <v>422</v>
      </c>
      <c r="M342" s="22"/>
      <c r="N342" s="22"/>
      <c r="O342" s="23">
        <v>2.5</v>
      </c>
      <c r="P342" s="117" cm="1">
        <f t="array" ref="P342">_xlfn.XLOOKUP(Table1[[#This Row],[UID
'[Helper']]],Table2[[#All],[UID
'[Helper']]],Table2[[#All],[Rate
DKK]],"Not found :(",0,1)</f>
        <v>900</v>
      </c>
      <c r="Q342" s="117">
        <f t="shared" si="40"/>
        <v>2250</v>
      </c>
      <c r="R342" s="118"/>
      <c r="S342" s="118"/>
    </row>
    <row r="343" spans="1:19" ht="13.5">
      <c r="A343" s="18" t="s">
        <v>92</v>
      </c>
      <c r="B343" s="18" t="s">
        <v>269</v>
      </c>
      <c r="C343" s="19" t="s">
        <v>400</v>
      </c>
      <c r="D343" s="49">
        <v>250402</v>
      </c>
      <c r="E343" s="18" t="s">
        <v>46</v>
      </c>
      <c r="F343" s="20">
        <v>45980</v>
      </c>
      <c r="G343" s="21">
        <f t="shared" si="38"/>
        <v>47</v>
      </c>
      <c r="H343" s="21" t="s">
        <v>22</v>
      </c>
      <c r="I343" s="79" t="str">
        <f t="shared" si="39"/>
        <v>11-2025</v>
      </c>
      <c r="J343" s="86" t="str">
        <f>(YEAR(F343)&amp;TEXT(Table1[[#This Row],[Week]],"00"))</f>
        <v>202547</v>
      </c>
      <c r="K343" s="79" t="str">
        <f>_xlfn.TEXTJOIN("-",TRUE,Table1[[#This Row],[Client]],Table1[[#This Row],[Budget ID]],Table1[[#This Row],[Ressource
'[Initials']]])</f>
        <v>Novo Nordisk-250402-MS</v>
      </c>
      <c r="L343" s="19" t="s">
        <v>428</v>
      </c>
      <c r="M343" s="22"/>
      <c r="N343" s="22"/>
      <c r="O343" s="23">
        <v>1.5</v>
      </c>
      <c r="P343" s="117" cm="1">
        <f t="array" ref="P343">_xlfn.XLOOKUP(Table1[[#This Row],[UID
'[Helper']]],Table2[[#All],[UID
'[Helper']]],Table2[[#All],[Rate
DKK]],"Not found :(",0,1)</f>
        <v>900</v>
      </c>
      <c r="Q343" s="117">
        <f t="shared" si="40"/>
        <v>1350</v>
      </c>
      <c r="R343" s="118"/>
      <c r="S343" s="118"/>
    </row>
    <row r="344" spans="1:19" ht="13.5">
      <c r="A344" s="18" t="s">
        <v>92</v>
      </c>
      <c r="B344" s="18" t="s">
        <v>269</v>
      </c>
      <c r="C344" s="19" t="s">
        <v>401</v>
      </c>
      <c r="D344" s="49">
        <v>250402</v>
      </c>
      <c r="E344" s="18" t="s">
        <v>46</v>
      </c>
      <c r="F344" s="20">
        <v>45980</v>
      </c>
      <c r="G344" s="21">
        <f t="shared" si="38"/>
        <v>47</v>
      </c>
      <c r="H344" s="21" t="s">
        <v>22</v>
      </c>
      <c r="I344" s="79" t="str">
        <f t="shared" si="39"/>
        <v>11-2025</v>
      </c>
      <c r="J344" s="86" t="str">
        <f>(YEAR(F344)&amp;TEXT(Table1[[#This Row],[Week]],"00"))</f>
        <v>202547</v>
      </c>
      <c r="K344" s="79" t="str">
        <f>_xlfn.TEXTJOIN("-",TRUE,Table1[[#This Row],[Client]],Table1[[#This Row],[Budget ID]],Table1[[#This Row],[Ressource
'[Initials']]])</f>
        <v>Novo Nordisk-250402-MS</v>
      </c>
      <c r="L344" s="19" t="s">
        <v>429</v>
      </c>
      <c r="M344" s="22"/>
      <c r="N344" s="22"/>
      <c r="O344" s="23">
        <v>1.5</v>
      </c>
      <c r="P344" s="117" cm="1">
        <f t="array" ref="P344">_xlfn.XLOOKUP(Table1[[#This Row],[UID
'[Helper']]],Table2[[#All],[UID
'[Helper']]],Table2[[#All],[Rate
DKK]],"Not found :(",0,1)</f>
        <v>900</v>
      </c>
      <c r="Q344" s="117">
        <f t="shared" si="40"/>
        <v>1350</v>
      </c>
      <c r="R344" s="118"/>
      <c r="S344" s="118"/>
    </row>
    <row r="345" spans="1:19" ht="27">
      <c r="A345" s="18" t="s">
        <v>14</v>
      </c>
      <c r="B345" s="18" t="s">
        <v>24</v>
      </c>
      <c r="C345" s="19" t="s">
        <v>268</v>
      </c>
      <c r="D345" s="49" t="s">
        <v>218</v>
      </c>
      <c r="E345" s="18" t="s">
        <v>79</v>
      </c>
      <c r="F345" s="20">
        <v>45980</v>
      </c>
      <c r="G345" s="21">
        <f t="shared" si="38"/>
        <v>47</v>
      </c>
      <c r="H345" s="21" t="s">
        <v>22</v>
      </c>
      <c r="I345" s="79" t="str">
        <f t="shared" si="39"/>
        <v>11-2025</v>
      </c>
      <c r="J345" s="86" t="str">
        <f>(YEAR(F345)&amp;TEXT(Table1[[#This Row],[Week]],"00"))</f>
        <v>202547</v>
      </c>
      <c r="K345" s="79" t="str">
        <f>_xlfn.TEXTJOIN("-",TRUE,Table1[[#This Row],[Client]],Table1[[#This Row],[Budget ID]],Table1[[#This Row],[Ressource
'[Initials']]])</f>
        <v>Labflex-230003-1-MS</v>
      </c>
      <c r="L345" s="19" t="s">
        <v>427</v>
      </c>
      <c r="M345" s="22"/>
      <c r="N345" s="22"/>
      <c r="O345" s="23">
        <v>1.5</v>
      </c>
      <c r="P345" s="117" cm="1">
        <f t="array" ref="P345">_xlfn.XLOOKUP(Table1[[#This Row],[UID
'[Helper']]],Table2[[#All],[UID
'[Helper']]],Table2[[#All],[Rate
DKK]],"Not found :(",0,1)</f>
        <v>900</v>
      </c>
      <c r="Q345" s="117">
        <f t="shared" si="40"/>
        <v>1350</v>
      </c>
      <c r="R345" s="118"/>
      <c r="S345" s="118"/>
    </row>
    <row r="346" spans="1:19" ht="27">
      <c r="A346" s="18" t="s">
        <v>14</v>
      </c>
      <c r="B346" s="18" t="s">
        <v>24</v>
      </c>
      <c r="C346" s="19" t="s">
        <v>273</v>
      </c>
      <c r="D346" s="49" t="s">
        <v>218</v>
      </c>
      <c r="E346" s="18" t="s">
        <v>79</v>
      </c>
      <c r="F346" s="20">
        <v>45980</v>
      </c>
      <c r="G346" s="21">
        <f t="shared" si="38"/>
        <v>47</v>
      </c>
      <c r="H346" s="21" t="s">
        <v>22</v>
      </c>
      <c r="I346" s="79" t="str">
        <f t="shared" si="39"/>
        <v>11-2025</v>
      </c>
      <c r="J346" s="86" t="str">
        <f>(YEAR(F346)&amp;TEXT(Table1[[#This Row],[Week]],"00"))</f>
        <v>202547</v>
      </c>
      <c r="K346" s="79" t="str">
        <f>_xlfn.TEXTJOIN("-",TRUE,Table1[[#This Row],[Client]],Table1[[#This Row],[Budget ID]],Table1[[#This Row],[Ressource
'[Initials']]])</f>
        <v>Labflex-230003-1-MS</v>
      </c>
      <c r="L346" s="19" t="s">
        <v>427</v>
      </c>
      <c r="M346" s="22"/>
      <c r="N346" s="22"/>
      <c r="O346" s="23">
        <v>1.5</v>
      </c>
      <c r="P346" s="117" cm="1">
        <f t="array" ref="P346">_xlfn.XLOOKUP(Table1[[#This Row],[UID
'[Helper']]],Table2[[#All],[UID
'[Helper']]],Table2[[#All],[Rate
DKK]],"Not found :(",0,1)</f>
        <v>900</v>
      </c>
      <c r="Q346" s="117">
        <f t="shared" si="40"/>
        <v>1350</v>
      </c>
      <c r="R346" s="118"/>
      <c r="S346" s="118"/>
    </row>
    <row r="347" spans="1:19" ht="27">
      <c r="A347" s="18" t="s">
        <v>14</v>
      </c>
      <c r="B347" s="18" t="s">
        <v>24</v>
      </c>
      <c r="C347" s="19" t="s">
        <v>277</v>
      </c>
      <c r="D347" s="49" t="s">
        <v>218</v>
      </c>
      <c r="E347" s="18" t="s">
        <v>79</v>
      </c>
      <c r="F347" s="20">
        <v>45980</v>
      </c>
      <c r="G347" s="21">
        <f t="shared" si="38"/>
        <v>47</v>
      </c>
      <c r="H347" s="21" t="s">
        <v>22</v>
      </c>
      <c r="I347" s="79" t="str">
        <f t="shared" si="39"/>
        <v>11-2025</v>
      </c>
      <c r="J347" s="86" t="str">
        <f>(YEAR(F347)&amp;TEXT(Table1[[#This Row],[Week]],"00"))</f>
        <v>202547</v>
      </c>
      <c r="K347" s="79" t="str">
        <f>_xlfn.TEXTJOIN("-",TRUE,Table1[[#This Row],[Client]],Table1[[#This Row],[Budget ID]],Table1[[#This Row],[Ressource
'[Initials']]])</f>
        <v>Labflex-230003-1-MS</v>
      </c>
      <c r="L347" s="19" t="s">
        <v>427</v>
      </c>
      <c r="M347" s="22"/>
      <c r="N347" s="22"/>
      <c r="O347" s="23">
        <v>1.5</v>
      </c>
      <c r="P347" s="117" cm="1">
        <f t="array" ref="P347">_xlfn.XLOOKUP(Table1[[#This Row],[UID
'[Helper']]],Table2[[#All],[UID
'[Helper']]],Table2[[#All],[Rate
DKK]],"Not found :(",0,1)</f>
        <v>900</v>
      </c>
      <c r="Q347" s="117">
        <f t="shared" si="40"/>
        <v>1350</v>
      </c>
      <c r="R347" s="118"/>
      <c r="S347" s="118"/>
    </row>
    <row r="348" spans="1:19" ht="13.5">
      <c r="A348" s="18" t="s">
        <v>14</v>
      </c>
      <c r="B348" s="18" t="s">
        <v>24</v>
      </c>
      <c r="C348" s="19" t="s">
        <v>371</v>
      </c>
      <c r="D348" s="49" t="s">
        <v>218</v>
      </c>
      <c r="E348" s="18" t="s">
        <v>46</v>
      </c>
      <c r="F348" s="20">
        <v>45980</v>
      </c>
      <c r="G348" s="21">
        <f t="shared" si="38"/>
        <v>47</v>
      </c>
      <c r="H348" s="21" t="s">
        <v>22</v>
      </c>
      <c r="I348" s="79" t="str">
        <f t="shared" si="39"/>
        <v>11-2025</v>
      </c>
      <c r="J348" s="86" t="str">
        <f>(YEAR(F348)&amp;TEXT(Table1[[#This Row],[Week]],"00"))</f>
        <v>202547</v>
      </c>
      <c r="K348" s="79" t="str">
        <f>_xlfn.TEXTJOIN("-",TRUE,Table1[[#This Row],[Client]],Table1[[#This Row],[Budget ID]],Table1[[#This Row],[Ressource
'[Initials']]])</f>
        <v>Labflex-230003-1-MS</v>
      </c>
      <c r="L348" s="19" t="s">
        <v>426</v>
      </c>
      <c r="M348" s="22"/>
      <c r="N348" s="22"/>
      <c r="O348" s="23">
        <v>2.5</v>
      </c>
      <c r="P348" s="117" cm="1">
        <f t="array" ref="P348">_xlfn.XLOOKUP(Table1[[#This Row],[UID
'[Helper']]],Table2[[#All],[UID
'[Helper']]],Table2[[#All],[Rate
DKK]],"Not found :(",0,1)</f>
        <v>900</v>
      </c>
      <c r="Q348" s="117">
        <f t="shared" si="40"/>
        <v>2250</v>
      </c>
      <c r="R348" s="118"/>
      <c r="S348" s="118"/>
    </row>
    <row r="349" spans="1:19" ht="27">
      <c r="A349" s="18" t="s">
        <v>14</v>
      </c>
      <c r="B349" s="18" t="s">
        <v>24</v>
      </c>
      <c r="C349" s="19" t="s">
        <v>72</v>
      </c>
      <c r="D349" s="49" t="s">
        <v>218</v>
      </c>
      <c r="E349" s="18" t="s">
        <v>37</v>
      </c>
      <c r="F349" s="20">
        <v>45980</v>
      </c>
      <c r="G349" s="21">
        <f t="shared" si="38"/>
        <v>47</v>
      </c>
      <c r="H349" s="21" t="s">
        <v>22</v>
      </c>
      <c r="I349" s="79" t="str">
        <f t="shared" si="39"/>
        <v>11-2025</v>
      </c>
      <c r="J349" s="86" t="str">
        <f>(YEAR(F349)&amp;TEXT(Table1[[#This Row],[Week]],"00"))</f>
        <v>202547</v>
      </c>
      <c r="K349" s="79" t="str">
        <f>_xlfn.TEXTJOIN("-",TRUE,Table1[[#This Row],[Client]],Table1[[#This Row],[Budget ID]],Table1[[#This Row],[Ressource
'[Initials']]])</f>
        <v>Labflex-230003-1-MS</v>
      </c>
      <c r="L349" s="19" t="s">
        <v>425</v>
      </c>
      <c r="M349" s="22"/>
      <c r="N349" s="22"/>
      <c r="O349" s="23">
        <v>2.5</v>
      </c>
      <c r="P349" s="117" cm="1">
        <f t="array" ref="P349">_xlfn.XLOOKUP(Table1[[#This Row],[UID
'[Helper']]],Table2[[#All],[UID
'[Helper']]],Table2[[#All],[Rate
DKK]],"Not found :(",0,1)</f>
        <v>900</v>
      </c>
      <c r="Q349" s="117">
        <f t="shared" si="40"/>
        <v>2250</v>
      </c>
      <c r="R349" s="118"/>
      <c r="S349" s="118"/>
    </row>
    <row r="350" spans="1:19" ht="27">
      <c r="A350" s="42" t="s">
        <v>14</v>
      </c>
      <c r="B350" s="43" t="s">
        <v>24</v>
      </c>
      <c r="C350" s="44" t="s">
        <v>71</v>
      </c>
      <c r="D350" s="49" t="s">
        <v>218</v>
      </c>
      <c r="E350" s="18" t="s">
        <v>37</v>
      </c>
      <c r="F350" s="20">
        <v>45980</v>
      </c>
      <c r="G350" s="21">
        <f t="shared" si="38"/>
        <v>47</v>
      </c>
      <c r="H350" s="21" t="s">
        <v>22</v>
      </c>
      <c r="I350" s="79" t="str">
        <f t="shared" si="39"/>
        <v>11-2025</v>
      </c>
      <c r="J350" s="86" t="str">
        <f>(YEAR(F350)&amp;TEXT(Table1[[#This Row],[Week]],"00"))</f>
        <v>202547</v>
      </c>
      <c r="K350" s="79" t="str">
        <f>_xlfn.TEXTJOIN("-",TRUE,Table1[[#This Row],[Client]],Table1[[#This Row],[Budget ID]],Table1[[#This Row],[Ressource
'[Initials']]])</f>
        <v>Labflex-230003-1-MS</v>
      </c>
      <c r="L350" s="19" t="s">
        <v>425</v>
      </c>
      <c r="M350" s="22"/>
      <c r="N350" s="22"/>
      <c r="O350" s="23">
        <v>1.5</v>
      </c>
      <c r="P350" s="117" cm="1">
        <f t="array" ref="P350">_xlfn.XLOOKUP(Table1[[#This Row],[UID
'[Helper']]],Table2[[#All],[UID
'[Helper']]],Table2[[#All],[Rate
DKK]],"Not found :(",0,1)</f>
        <v>900</v>
      </c>
      <c r="Q350" s="117">
        <f t="shared" si="40"/>
        <v>1350</v>
      </c>
      <c r="R350" s="118"/>
      <c r="S350" s="118"/>
    </row>
    <row r="351" spans="1:19" ht="13.5">
      <c r="A351" s="43" t="s">
        <v>14</v>
      </c>
      <c r="B351" s="43" t="s">
        <v>24</v>
      </c>
      <c r="C351" s="19" t="s">
        <v>72</v>
      </c>
      <c r="D351" s="71" t="s">
        <v>218</v>
      </c>
      <c r="E351" s="18" t="s">
        <v>73</v>
      </c>
      <c r="F351" s="20">
        <v>45980</v>
      </c>
      <c r="G351" s="21">
        <f t="shared" si="38"/>
        <v>47</v>
      </c>
      <c r="H351" s="21" t="s">
        <v>22</v>
      </c>
      <c r="I351" s="79" t="str">
        <f t="shared" si="39"/>
        <v>11-2025</v>
      </c>
      <c r="J351" s="86" t="str">
        <f>(YEAR(F351)&amp;TEXT(Table1[[#This Row],[Week]],"00"))</f>
        <v>202547</v>
      </c>
      <c r="K351" s="79" t="str">
        <f>_xlfn.TEXTJOIN("-",TRUE,Table1[[#This Row],[Client]],Table1[[#This Row],[Budget ID]],Table1[[#This Row],[Ressource
'[Initials']]])</f>
        <v>Labflex-230003-1-MS</v>
      </c>
      <c r="L351" s="19" t="s">
        <v>424</v>
      </c>
      <c r="M351" s="22"/>
      <c r="N351" s="22"/>
      <c r="O351" s="23">
        <v>0.5</v>
      </c>
      <c r="P351" s="117" cm="1">
        <f t="array" ref="P351">_xlfn.XLOOKUP(Table1[[#This Row],[UID
'[Helper']]],Table2[[#All],[UID
'[Helper']]],Table2[[#All],[Rate
DKK]],"Not found :(",0,1)</f>
        <v>900</v>
      </c>
      <c r="Q351" s="117">
        <f t="shared" si="40"/>
        <v>450</v>
      </c>
      <c r="R351" s="118"/>
      <c r="S351" s="118"/>
    </row>
    <row r="352" spans="1:19" ht="13.5">
      <c r="A352" s="18" t="s">
        <v>14</v>
      </c>
      <c r="B352" s="18" t="s">
        <v>24</v>
      </c>
      <c r="C352" s="19" t="s">
        <v>71</v>
      </c>
      <c r="D352" s="49" t="s">
        <v>218</v>
      </c>
      <c r="E352" s="18" t="s">
        <v>73</v>
      </c>
      <c r="F352" s="20">
        <v>45980</v>
      </c>
      <c r="G352" s="21">
        <f t="shared" si="38"/>
        <v>47</v>
      </c>
      <c r="H352" s="21" t="s">
        <v>22</v>
      </c>
      <c r="I352" s="79" t="str">
        <f t="shared" si="39"/>
        <v>11-2025</v>
      </c>
      <c r="J352" s="86" t="str">
        <f>(YEAR(F352)&amp;TEXT(Table1[[#This Row],[Week]],"00"))</f>
        <v>202547</v>
      </c>
      <c r="K352" s="79" t="str">
        <f>_xlfn.TEXTJOIN("-",TRUE,Table1[[#This Row],[Client]],Table1[[#This Row],[Budget ID]],Table1[[#This Row],[Ressource
'[Initials']]])</f>
        <v>Labflex-230003-1-MS</v>
      </c>
      <c r="L352" s="19" t="s">
        <v>424</v>
      </c>
      <c r="M352" s="22"/>
      <c r="N352" s="22"/>
      <c r="O352" s="23">
        <v>0.5</v>
      </c>
      <c r="P352" s="117" cm="1">
        <f t="array" ref="P352">_xlfn.XLOOKUP(Table1[[#This Row],[UID
'[Helper']]],Table2[[#All],[UID
'[Helper']]],Table2[[#All],[Rate
DKK]],"Not found :(",0,1)</f>
        <v>900</v>
      </c>
      <c r="Q352" s="117">
        <f t="shared" si="40"/>
        <v>450</v>
      </c>
      <c r="R352" s="118"/>
      <c r="S352" s="118"/>
    </row>
    <row r="353" spans="1:19" ht="13.5">
      <c r="A353" s="43" t="s">
        <v>92</v>
      </c>
      <c r="B353" s="43" t="s">
        <v>269</v>
      </c>
      <c r="C353" s="19" t="s">
        <v>400</v>
      </c>
      <c r="D353" s="71">
        <v>250402</v>
      </c>
      <c r="E353" s="18" t="s">
        <v>46</v>
      </c>
      <c r="F353" s="20">
        <v>45980</v>
      </c>
      <c r="G353" s="21">
        <f t="shared" si="38"/>
        <v>47</v>
      </c>
      <c r="H353" s="21" t="s">
        <v>20</v>
      </c>
      <c r="I353" s="79" t="str">
        <f t="shared" si="39"/>
        <v>11-2025</v>
      </c>
      <c r="J353" s="86" t="str">
        <f>(YEAR(F353)&amp;TEXT(Table1[[#This Row],[Week]],"00"))</f>
        <v>202547</v>
      </c>
      <c r="K353" s="79" t="str">
        <f>_xlfn.TEXTJOIN("-",TRUE,Table1[[#This Row],[Client]],Table1[[#This Row],[Budget ID]],Table1[[#This Row],[Ressource
'[Initials']]])</f>
        <v>Novo Nordisk-250402-DS</v>
      </c>
      <c r="L353" s="19" t="s">
        <v>432</v>
      </c>
      <c r="M353" s="22"/>
      <c r="N353" s="22"/>
      <c r="O353" s="23">
        <v>0.5</v>
      </c>
      <c r="P353" s="117" cm="1">
        <f t="array" ref="P353">_xlfn.XLOOKUP(Table1[[#This Row],[UID
'[Helper']]],Table2[[#All],[UID
'[Helper']]],Table2[[#All],[Rate
DKK]],"Not found :(",0,1)</f>
        <v>900</v>
      </c>
      <c r="Q353" s="117">
        <f t="shared" si="40"/>
        <v>450</v>
      </c>
      <c r="R353" s="118"/>
      <c r="S353" s="118"/>
    </row>
    <row r="354" spans="1:19" ht="27">
      <c r="A354" s="18" t="s">
        <v>92</v>
      </c>
      <c r="B354" s="18" t="s">
        <v>269</v>
      </c>
      <c r="C354" s="19" t="s">
        <v>401</v>
      </c>
      <c r="D354" s="49">
        <v>250402</v>
      </c>
      <c r="E354" s="18" t="s">
        <v>46</v>
      </c>
      <c r="F354" s="20">
        <v>45980</v>
      </c>
      <c r="G354" s="21">
        <f t="shared" si="38"/>
        <v>47</v>
      </c>
      <c r="H354" s="21" t="s">
        <v>20</v>
      </c>
      <c r="I354" s="79" t="str">
        <f t="shared" si="39"/>
        <v>11-2025</v>
      </c>
      <c r="J354" s="86" t="str">
        <f>(YEAR(F354)&amp;TEXT(Table1[[#This Row],[Week]],"00"))</f>
        <v>202547</v>
      </c>
      <c r="K354" s="79" t="str">
        <f>_xlfn.TEXTJOIN("-",TRUE,Table1[[#This Row],[Client]],Table1[[#This Row],[Budget ID]],Table1[[#This Row],[Ressource
'[Initials']]])</f>
        <v>Novo Nordisk-250402-DS</v>
      </c>
      <c r="L354" s="19" t="s">
        <v>433</v>
      </c>
      <c r="M354" s="22"/>
      <c r="N354" s="22"/>
      <c r="O354" s="23">
        <v>10</v>
      </c>
      <c r="P354" s="117" cm="1">
        <f t="array" ref="P354">_xlfn.XLOOKUP(Table1[[#This Row],[UID
'[Helper']]],Table2[[#All],[UID
'[Helper']]],Table2[[#All],[Rate
DKK]],"Not found :(",0,1)</f>
        <v>900</v>
      </c>
      <c r="Q354" s="117">
        <f t="shared" si="40"/>
        <v>9000</v>
      </c>
      <c r="R354" s="118"/>
      <c r="S354" s="118"/>
    </row>
    <row r="355" spans="1:19" ht="13.5">
      <c r="A355" s="182" t="s">
        <v>107</v>
      </c>
      <c r="B355" s="182" t="s">
        <v>154</v>
      </c>
      <c r="C355" s="183"/>
      <c r="D355" s="71">
        <v>240021</v>
      </c>
      <c r="E355" s="182" t="s">
        <v>37</v>
      </c>
      <c r="F355" s="184">
        <v>45980</v>
      </c>
      <c r="G355" s="185">
        <f t="shared" si="38"/>
        <v>47</v>
      </c>
      <c r="H355" s="185" t="s">
        <v>54</v>
      </c>
      <c r="I355" s="79" t="str">
        <f t="shared" si="39"/>
        <v>11-2025</v>
      </c>
      <c r="J355" s="86" t="str">
        <f>(YEAR(F355)&amp;TEXT(Table1[[#This Row],[Week]],"00"))</f>
        <v>202547</v>
      </c>
      <c r="K355" s="79" t="str">
        <f>_xlfn.TEXTJOIN("-",TRUE,Table1[[#This Row],[Client]],Table1[[#This Row],[Budget ID]],Table1[[#This Row],[Ressource
'[Initials']]])</f>
        <v>Zystm-240021-ML</v>
      </c>
      <c r="L355" s="19"/>
      <c r="M355" s="22"/>
      <c r="N355" s="22"/>
      <c r="O355" s="23">
        <v>1</v>
      </c>
      <c r="P355" s="117" cm="1">
        <f t="array" ref="P355">_xlfn.XLOOKUP(Table1[[#This Row],[UID
'[Helper']]],Table2[[#All],[UID
'[Helper']]],Table2[[#All],[Rate
DKK]],"Not found :(",0,1)</f>
        <v>850</v>
      </c>
      <c r="Q355" s="117">
        <f t="shared" si="40"/>
        <v>850</v>
      </c>
      <c r="R355" s="118"/>
      <c r="S355" s="118"/>
    </row>
    <row r="356" spans="1:19" ht="13.5">
      <c r="A356" s="182" t="s">
        <v>92</v>
      </c>
      <c r="B356" s="182" t="s">
        <v>269</v>
      </c>
      <c r="C356" s="183" t="s">
        <v>401</v>
      </c>
      <c r="D356" s="49">
        <v>250402</v>
      </c>
      <c r="E356" s="182" t="s">
        <v>46</v>
      </c>
      <c r="F356" s="184">
        <v>45980</v>
      </c>
      <c r="G356" s="21">
        <f t="shared" si="38"/>
        <v>47</v>
      </c>
      <c r="H356" s="21" t="s">
        <v>54</v>
      </c>
      <c r="I356" s="79" t="str">
        <f t="shared" si="39"/>
        <v>11-2025</v>
      </c>
      <c r="J356" s="86" t="str">
        <f>(YEAR(F356)&amp;TEXT(Table1[[#This Row],[Week]],"00"))</f>
        <v>202547</v>
      </c>
      <c r="K356" s="79" t="str">
        <f>_xlfn.TEXTJOIN("-",TRUE,Table1[[#This Row],[Client]],Table1[[#This Row],[Budget ID]],Table1[[#This Row],[Ressource
'[Initials']]])</f>
        <v>Novo Nordisk-250402-ML</v>
      </c>
      <c r="L356" s="19"/>
      <c r="M356" s="22"/>
      <c r="N356" s="22"/>
      <c r="O356" s="23">
        <v>9.5</v>
      </c>
      <c r="P356" s="117" cm="1">
        <f t="array" ref="P356">_xlfn.XLOOKUP(Table1[[#This Row],[UID
'[Helper']]],Table2[[#All],[UID
'[Helper']]],Table2[[#All],[Rate
DKK]],"Not found :(",0,1)</f>
        <v>900</v>
      </c>
      <c r="Q356" s="117">
        <f t="shared" si="40"/>
        <v>8550</v>
      </c>
      <c r="R356" s="118"/>
      <c r="S356" s="118"/>
    </row>
    <row r="357" spans="1:19" ht="27">
      <c r="A357" s="18" t="s">
        <v>14</v>
      </c>
      <c r="B357" s="18" t="s">
        <v>24</v>
      </c>
      <c r="C357" s="19" t="s">
        <v>268</v>
      </c>
      <c r="D357" s="49" t="s">
        <v>218</v>
      </c>
      <c r="E357" s="18" t="s">
        <v>79</v>
      </c>
      <c r="F357" s="20">
        <v>45980</v>
      </c>
      <c r="G357" s="21">
        <f t="shared" si="38"/>
        <v>47</v>
      </c>
      <c r="H357" s="21" t="s">
        <v>369</v>
      </c>
      <c r="I357" s="79" t="str">
        <f t="shared" si="39"/>
        <v>11-2025</v>
      </c>
      <c r="J357" s="86" t="str">
        <f>(YEAR(F357)&amp;TEXT(Table1[[#This Row],[Week]],"00"))</f>
        <v>202547</v>
      </c>
      <c r="K357" s="79" t="str">
        <f>_xlfn.TEXTJOIN("-",TRUE,Table1[[#This Row],[Client]],Table1[[#This Row],[Budget ID]],Table1[[#This Row],[Ressource
'[Initials']]])</f>
        <v>Labflex-230003-1-GL</v>
      </c>
      <c r="L357" s="19" t="s">
        <v>434</v>
      </c>
      <c r="M357" s="22"/>
      <c r="N357" s="22"/>
      <c r="O357" s="23">
        <v>2</v>
      </c>
      <c r="P357" s="117" cm="1">
        <f t="array" ref="P357">_xlfn.XLOOKUP(Table1[[#This Row],[UID
'[Helper']]],Table2[[#All],[UID
'[Helper']]],Table2[[#All],[Rate
DKK]],"Not found :(",0,1)</f>
        <v>800</v>
      </c>
      <c r="Q357" s="117">
        <f t="shared" si="40"/>
        <v>1600</v>
      </c>
      <c r="R357" s="118"/>
      <c r="S357" s="118"/>
    </row>
    <row r="358" spans="1:19" ht="27">
      <c r="A358" s="18" t="s">
        <v>14</v>
      </c>
      <c r="B358" s="18" t="s">
        <v>24</v>
      </c>
      <c r="C358" s="19" t="s">
        <v>273</v>
      </c>
      <c r="D358" s="49" t="s">
        <v>218</v>
      </c>
      <c r="E358" s="18" t="s">
        <v>79</v>
      </c>
      <c r="F358" s="20">
        <v>45980</v>
      </c>
      <c r="G358" s="21">
        <f t="shared" si="38"/>
        <v>47</v>
      </c>
      <c r="H358" s="21" t="s">
        <v>369</v>
      </c>
      <c r="I358" s="79" t="str">
        <f t="shared" si="39"/>
        <v>11-2025</v>
      </c>
      <c r="J358" s="86" t="str">
        <f>(YEAR(F358)&amp;TEXT(Table1[[#This Row],[Week]],"00"))</f>
        <v>202547</v>
      </c>
      <c r="K358" s="79" t="str">
        <f>_xlfn.TEXTJOIN("-",TRUE,Table1[[#This Row],[Client]],Table1[[#This Row],[Budget ID]],Table1[[#This Row],[Ressource
'[Initials']]])</f>
        <v>Labflex-230003-1-GL</v>
      </c>
      <c r="L358" s="19" t="s">
        <v>434</v>
      </c>
      <c r="M358" s="22"/>
      <c r="N358" s="22"/>
      <c r="O358" s="23">
        <v>1.5</v>
      </c>
      <c r="P358" s="117" cm="1">
        <f t="array" ref="P358">_xlfn.XLOOKUP(Table1[[#This Row],[UID
'[Helper']]],Table2[[#All],[UID
'[Helper']]],Table2[[#All],[Rate
DKK]],"Not found :(",0,1)</f>
        <v>800</v>
      </c>
      <c r="Q358" s="117">
        <f t="shared" si="40"/>
        <v>1200</v>
      </c>
      <c r="R358" s="118"/>
      <c r="S358" s="118"/>
    </row>
    <row r="359" spans="1:19" ht="27">
      <c r="A359" s="18" t="s">
        <v>14</v>
      </c>
      <c r="B359" s="18" t="s">
        <v>24</v>
      </c>
      <c r="C359" s="19" t="s">
        <v>277</v>
      </c>
      <c r="D359" s="49" t="s">
        <v>218</v>
      </c>
      <c r="E359" s="18" t="s">
        <v>79</v>
      </c>
      <c r="F359" s="20">
        <v>45980</v>
      </c>
      <c r="G359" s="21">
        <f t="shared" si="38"/>
        <v>47</v>
      </c>
      <c r="H359" s="21" t="s">
        <v>369</v>
      </c>
      <c r="I359" s="79" t="str">
        <f t="shared" si="39"/>
        <v>11-2025</v>
      </c>
      <c r="J359" s="86" t="str">
        <f>(YEAR(F359)&amp;TEXT(Table1[[#This Row],[Week]],"00"))</f>
        <v>202547</v>
      </c>
      <c r="K359" s="79" t="str">
        <f>_xlfn.TEXTJOIN("-",TRUE,Table1[[#This Row],[Client]],Table1[[#This Row],[Budget ID]],Table1[[#This Row],[Ressource
'[Initials']]])</f>
        <v>Labflex-230003-1-GL</v>
      </c>
      <c r="L359" s="19" t="s">
        <v>434</v>
      </c>
      <c r="M359" s="22"/>
      <c r="N359" s="22"/>
      <c r="O359" s="23">
        <v>1.5</v>
      </c>
      <c r="P359" s="117" cm="1">
        <f t="array" ref="P359">_xlfn.XLOOKUP(Table1[[#This Row],[UID
'[Helper']]],Table2[[#All],[UID
'[Helper']]],Table2[[#All],[Rate
DKK]],"Not found :(",0,1)</f>
        <v>800</v>
      </c>
      <c r="Q359" s="117">
        <f t="shared" si="40"/>
        <v>1200</v>
      </c>
      <c r="R359" s="118"/>
      <c r="S359" s="118"/>
    </row>
    <row r="360" spans="1:19" ht="13.5">
      <c r="A360" s="43" t="s">
        <v>14</v>
      </c>
      <c r="B360" s="43" t="s">
        <v>24</v>
      </c>
      <c r="C360" s="19" t="s">
        <v>371</v>
      </c>
      <c r="D360" s="71" t="s">
        <v>218</v>
      </c>
      <c r="E360" s="18" t="s">
        <v>46</v>
      </c>
      <c r="F360" s="20">
        <v>45980</v>
      </c>
      <c r="G360" s="21">
        <f t="shared" si="38"/>
        <v>47</v>
      </c>
      <c r="H360" s="21" t="s">
        <v>369</v>
      </c>
      <c r="I360" s="79" t="str">
        <f t="shared" si="39"/>
        <v>11-2025</v>
      </c>
      <c r="J360" s="86" t="str">
        <f>(YEAR(F360)&amp;TEXT(Table1[[#This Row],[Week]],"00"))</f>
        <v>202547</v>
      </c>
      <c r="K360" s="79" t="str">
        <f>_xlfn.TEXTJOIN("-",TRUE,Table1[[#This Row],[Client]],Table1[[#This Row],[Budget ID]],Table1[[#This Row],[Ressource
'[Initials']]])</f>
        <v>Labflex-230003-1-GL</v>
      </c>
      <c r="L360" s="19" t="s">
        <v>435</v>
      </c>
      <c r="M360" s="22"/>
      <c r="N360" s="22"/>
      <c r="O360" s="23">
        <v>3.5</v>
      </c>
      <c r="P360" s="117" cm="1">
        <f t="array" ref="P360">_xlfn.XLOOKUP(Table1[[#This Row],[UID
'[Helper']]],Table2[[#All],[UID
'[Helper']]],Table2[[#All],[Rate
DKK]],"Not found :(",0,1)</f>
        <v>800</v>
      </c>
      <c r="Q360" s="117">
        <f t="shared" si="40"/>
        <v>2800</v>
      </c>
      <c r="R360" s="118"/>
      <c r="S360" s="118"/>
    </row>
    <row r="361" spans="1:19" ht="13.5">
      <c r="A361" s="18" t="s">
        <v>14</v>
      </c>
      <c r="B361" s="18" t="s">
        <v>24</v>
      </c>
      <c r="C361" s="19" t="s">
        <v>72</v>
      </c>
      <c r="D361" s="49" t="s">
        <v>218</v>
      </c>
      <c r="E361" s="182" t="s">
        <v>37</v>
      </c>
      <c r="F361" s="20">
        <v>45980</v>
      </c>
      <c r="G361" s="21">
        <f t="shared" si="38"/>
        <v>47</v>
      </c>
      <c r="H361" s="21" t="s">
        <v>369</v>
      </c>
      <c r="I361" s="79" t="str">
        <f t="shared" si="39"/>
        <v>11-2025</v>
      </c>
      <c r="J361" s="86" t="str">
        <f>(YEAR(F361)&amp;TEXT(Table1[[#This Row],[Week]],"00"))</f>
        <v>202547</v>
      </c>
      <c r="K361" s="79" t="str">
        <f>_xlfn.TEXTJOIN("-",TRUE,Table1[[#This Row],[Client]],Table1[[#This Row],[Budget ID]],Table1[[#This Row],[Ressource
'[Initials']]])</f>
        <v>Labflex-230003-1-GL</v>
      </c>
      <c r="L361" s="19" t="s">
        <v>421</v>
      </c>
      <c r="M361" s="22"/>
      <c r="N361" s="22"/>
      <c r="O361" s="23">
        <v>1</v>
      </c>
      <c r="P361" s="117" cm="1">
        <f t="array" ref="P361">_xlfn.XLOOKUP(Table1[[#This Row],[UID
'[Helper']]],Table2[[#All],[UID
'[Helper']]],Table2[[#All],[Rate
DKK]],"Not found :(",0,1)</f>
        <v>800</v>
      </c>
      <c r="Q361" s="117">
        <f t="shared" si="40"/>
        <v>800</v>
      </c>
      <c r="R361" s="118"/>
      <c r="S361" s="118"/>
    </row>
    <row r="362" spans="1:19" ht="13.5">
      <c r="A362" s="18" t="s">
        <v>14</v>
      </c>
      <c r="B362" s="18" t="s">
        <v>24</v>
      </c>
      <c r="C362" s="19" t="s">
        <v>71</v>
      </c>
      <c r="D362" s="49" t="s">
        <v>218</v>
      </c>
      <c r="E362" s="182" t="s">
        <v>37</v>
      </c>
      <c r="F362" s="20">
        <v>45980</v>
      </c>
      <c r="G362" s="21">
        <f t="shared" si="38"/>
        <v>47</v>
      </c>
      <c r="H362" s="21" t="s">
        <v>369</v>
      </c>
      <c r="I362" s="79" t="str">
        <f t="shared" si="39"/>
        <v>11-2025</v>
      </c>
      <c r="J362" s="86" t="str">
        <f>(YEAR(F362)&amp;TEXT(Table1[[#This Row],[Week]],"00"))</f>
        <v>202547</v>
      </c>
      <c r="K362" s="79" t="str">
        <f>_xlfn.TEXTJOIN("-",TRUE,Table1[[#This Row],[Client]],Table1[[#This Row],[Budget ID]],Table1[[#This Row],[Ressource
'[Initials']]])</f>
        <v>Labflex-230003-1-GL</v>
      </c>
      <c r="L362" s="19" t="s">
        <v>421</v>
      </c>
      <c r="M362" s="22"/>
      <c r="N362" s="22"/>
      <c r="O362" s="23">
        <v>0.5</v>
      </c>
      <c r="P362" s="117" cm="1">
        <f t="array" ref="P362">_xlfn.XLOOKUP(Table1[[#This Row],[UID
'[Helper']]],Table2[[#All],[UID
'[Helper']]],Table2[[#All],[Rate
DKK]],"Not found :(",0,1)</f>
        <v>800</v>
      </c>
      <c r="Q362" s="117">
        <f t="shared" si="40"/>
        <v>400</v>
      </c>
      <c r="R362" s="118"/>
      <c r="S362" s="118"/>
    </row>
    <row r="363" spans="1:19" ht="27">
      <c r="A363" s="182" t="s">
        <v>143</v>
      </c>
      <c r="B363" s="182" t="s">
        <v>144</v>
      </c>
      <c r="C363" s="183"/>
      <c r="D363" s="49">
        <v>240018</v>
      </c>
      <c r="E363" s="182" t="s">
        <v>79</v>
      </c>
      <c r="F363" s="20">
        <v>45980</v>
      </c>
      <c r="G363" s="21">
        <f t="shared" si="38"/>
        <v>47</v>
      </c>
      <c r="H363" s="21" t="s">
        <v>22</v>
      </c>
      <c r="I363" s="79" t="str">
        <f t="shared" si="39"/>
        <v>11-2025</v>
      </c>
      <c r="J363" s="86" t="str">
        <f>(YEAR(F363)&amp;TEXT(Table1[[#This Row],[Week]],"00"))</f>
        <v>202547</v>
      </c>
      <c r="K363" s="79" t="str">
        <f>_xlfn.TEXTJOIN("-",TRUE,Table1[[#This Row],[Client]],Table1[[#This Row],[Budget ID]],Table1[[#This Row],[Ressource
'[Initials']]])</f>
        <v>CCRM-240018-MS</v>
      </c>
      <c r="L363" s="19" t="s">
        <v>423</v>
      </c>
      <c r="M363" s="22"/>
      <c r="N363" s="22"/>
      <c r="O363" s="23">
        <v>1.5</v>
      </c>
      <c r="P363" s="117" cm="1">
        <f t="array" ref="P363">_xlfn.XLOOKUP(Table1[[#This Row],[UID
'[Helper']]],Table2[[#All],[UID
'[Helper']]],Table2[[#All],[Rate
DKK]],"Not found :(",0,1)</f>
        <v>900</v>
      </c>
      <c r="Q363" s="117">
        <f t="shared" si="40"/>
        <v>1350</v>
      </c>
      <c r="R363" s="118"/>
      <c r="S363" s="118"/>
    </row>
    <row r="364" spans="1:19" ht="27">
      <c r="A364" s="18" t="s">
        <v>92</v>
      </c>
      <c r="B364" s="18" t="s">
        <v>269</v>
      </c>
      <c r="C364" s="19" t="s">
        <v>400</v>
      </c>
      <c r="D364" s="49">
        <v>250402</v>
      </c>
      <c r="E364" s="18" t="s">
        <v>46</v>
      </c>
      <c r="F364" s="20">
        <v>45981</v>
      </c>
      <c r="G364" s="21">
        <f t="shared" si="38"/>
        <v>47</v>
      </c>
      <c r="H364" s="21" t="s">
        <v>20</v>
      </c>
      <c r="I364" s="79" t="str">
        <f t="shared" si="39"/>
        <v>11-2025</v>
      </c>
      <c r="J364" s="86" t="str">
        <f>(YEAR(F364)&amp;TEXT(Table1[[#This Row],[Week]],"00"))</f>
        <v>202547</v>
      </c>
      <c r="K364" s="79" t="str">
        <f>_xlfn.TEXTJOIN("-",TRUE,Table1[[#This Row],[Client]],Table1[[#This Row],[Budget ID]],Table1[[#This Row],[Ressource
'[Initials']]])</f>
        <v>Novo Nordisk-250402-DS</v>
      </c>
      <c r="L364" s="19" t="s">
        <v>430</v>
      </c>
      <c r="M364" s="22"/>
      <c r="N364" s="22"/>
      <c r="O364" s="23">
        <v>9</v>
      </c>
      <c r="P364" s="117" cm="1">
        <f t="array" ref="P364">_xlfn.XLOOKUP(Table1[[#This Row],[UID
'[Helper']]],Table2[[#All],[UID
'[Helper']]],Table2[[#All],[Rate
DKK]],"Not found :(",0,1)</f>
        <v>900</v>
      </c>
      <c r="Q364" s="117">
        <f t="shared" si="40"/>
        <v>8100</v>
      </c>
      <c r="R364" s="118"/>
      <c r="S364" s="118"/>
    </row>
    <row r="365" spans="1:19" ht="13.5">
      <c r="A365" s="18" t="s">
        <v>92</v>
      </c>
      <c r="B365" s="18" t="s">
        <v>269</v>
      </c>
      <c r="C365" s="19" t="s">
        <v>401</v>
      </c>
      <c r="D365" s="49">
        <v>250402</v>
      </c>
      <c r="E365" s="18" t="s">
        <v>46</v>
      </c>
      <c r="F365" s="20">
        <v>45981</v>
      </c>
      <c r="G365" s="21">
        <f t="shared" si="38"/>
        <v>47</v>
      </c>
      <c r="H365" s="21" t="s">
        <v>20</v>
      </c>
      <c r="I365" s="79" t="str">
        <f t="shared" si="39"/>
        <v>11-2025</v>
      </c>
      <c r="J365" s="86" t="str">
        <f>(YEAR(F365)&amp;TEXT(Table1[[#This Row],[Week]],"00"))</f>
        <v>202547</v>
      </c>
      <c r="K365" s="79" t="str">
        <f>_xlfn.TEXTJOIN("-",TRUE,Table1[[#This Row],[Client]],Table1[[#This Row],[Budget ID]],Table1[[#This Row],[Ressource
'[Initials']]])</f>
        <v>Novo Nordisk-250402-DS</v>
      </c>
      <c r="L365" s="19" t="s">
        <v>431</v>
      </c>
      <c r="M365" s="22"/>
      <c r="N365" s="22"/>
      <c r="O365" s="23">
        <v>1</v>
      </c>
      <c r="P365" s="117" cm="1">
        <f t="array" ref="P365">_xlfn.XLOOKUP(Table1[[#This Row],[UID
'[Helper']]],Table2[[#All],[UID
'[Helper']]],Table2[[#All],[Rate
DKK]],"Not found :(",0,1)</f>
        <v>900</v>
      </c>
      <c r="Q365" s="117">
        <f t="shared" si="40"/>
        <v>900</v>
      </c>
      <c r="R365" s="118"/>
      <c r="S365" s="118"/>
    </row>
    <row r="366" spans="1:19" ht="13.5">
      <c r="A366" s="18" t="s">
        <v>92</v>
      </c>
      <c r="B366" s="18" t="s">
        <v>269</v>
      </c>
      <c r="C366" s="19" t="s">
        <v>401</v>
      </c>
      <c r="D366" s="49">
        <v>250402</v>
      </c>
      <c r="E366" s="18" t="s">
        <v>46</v>
      </c>
      <c r="F366" s="20">
        <v>45993</v>
      </c>
      <c r="G366" s="21">
        <f t="shared" ref="G366:G426" si="41">WEEKNUM($F366,21)</f>
        <v>49</v>
      </c>
      <c r="H366" s="21" t="s">
        <v>22</v>
      </c>
      <c r="I366" s="79" t="str">
        <f t="shared" ref="I366:I409" si="42">(MONTH(F366)&amp;"-"&amp;YEAR(F366))</f>
        <v>12-2025</v>
      </c>
      <c r="J366" s="86" t="str">
        <f>(YEAR(F366)&amp;TEXT(Table1[[#This Row],[Week]],"00"))</f>
        <v>202549</v>
      </c>
      <c r="K366" s="79" t="str">
        <f>_xlfn.TEXTJOIN("-",TRUE,Table1[[#This Row],[Client]],Table1[[#This Row],[Budget ID]],Table1[[#This Row],[Ressource
'[Initials']]])</f>
        <v>Novo Nordisk-250402-MS</v>
      </c>
      <c r="L366" s="19" t="s">
        <v>445</v>
      </c>
      <c r="M366" s="22"/>
      <c r="N366" s="22"/>
      <c r="O366" s="23">
        <v>1.5</v>
      </c>
      <c r="P366" s="117" cm="1">
        <f t="array" ref="P366">_xlfn.XLOOKUP(Table1[[#This Row],[UID
'[Helper']]],Table2[[#All],[UID
'[Helper']]],Table2[[#All],[Rate
DKK]],"Not found :(",0,1)</f>
        <v>900</v>
      </c>
      <c r="Q366" s="117">
        <f t="shared" ref="Q366:Q409" si="43">IFERROR(O366*P366,0)</f>
        <v>1350</v>
      </c>
      <c r="R366" s="118"/>
      <c r="S366" s="118"/>
    </row>
    <row r="367" spans="1:19" ht="13.5">
      <c r="A367" s="18" t="s">
        <v>92</v>
      </c>
      <c r="B367" s="18" t="s">
        <v>145</v>
      </c>
      <c r="C367" s="19"/>
      <c r="D367" s="49">
        <v>240019</v>
      </c>
      <c r="E367" s="18" t="s">
        <v>46</v>
      </c>
      <c r="F367" s="20">
        <v>45993</v>
      </c>
      <c r="G367" s="21">
        <f t="shared" si="41"/>
        <v>49</v>
      </c>
      <c r="H367" s="21" t="s">
        <v>22</v>
      </c>
      <c r="I367" s="79" t="str">
        <f t="shared" si="42"/>
        <v>12-2025</v>
      </c>
      <c r="J367" s="86" t="str">
        <f>(YEAR(F367)&amp;TEXT(Table1[[#This Row],[Week]],"00"))</f>
        <v>202549</v>
      </c>
      <c r="K367" s="79" t="str">
        <f>_xlfn.TEXTJOIN("-",TRUE,Table1[[#This Row],[Client]],Table1[[#This Row],[Budget ID]],Table1[[#This Row],[Ressource
'[Initials']]])</f>
        <v>Novo Nordisk-240019-MS</v>
      </c>
      <c r="L367" s="19" t="s">
        <v>444</v>
      </c>
      <c r="M367" s="22"/>
      <c r="N367" s="22"/>
      <c r="O367" s="23">
        <v>1</v>
      </c>
      <c r="P367" s="117" cm="1">
        <f t="array" ref="P367">_xlfn.XLOOKUP(Table1[[#This Row],[UID
'[Helper']]],Table2[[#All],[UID
'[Helper']]],Table2[[#All],[Rate
DKK]],"Not found :(",0,1)</f>
        <v>900</v>
      </c>
      <c r="Q367" s="117">
        <f t="shared" si="43"/>
        <v>900</v>
      </c>
      <c r="R367" s="118"/>
      <c r="S367" s="118"/>
    </row>
    <row r="368" spans="1:19" ht="13.5">
      <c r="A368" s="190" t="s">
        <v>92</v>
      </c>
      <c r="B368" s="190" t="s">
        <v>145</v>
      </c>
      <c r="C368" s="191"/>
      <c r="D368" s="192">
        <v>240019</v>
      </c>
      <c r="E368" s="18" t="s">
        <v>46</v>
      </c>
      <c r="F368" s="193">
        <v>45993</v>
      </c>
      <c r="G368" s="21">
        <f t="shared" si="41"/>
        <v>49</v>
      </c>
      <c r="H368" s="21" t="s">
        <v>20</v>
      </c>
      <c r="I368" s="79" t="str">
        <f t="shared" si="42"/>
        <v>12-2025</v>
      </c>
      <c r="J368" s="86" t="str">
        <f>(YEAR(F368)&amp;TEXT(Table1[[#This Row],[Week]],"00"))</f>
        <v>202549</v>
      </c>
      <c r="K368" s="79" t="str">
        <f>_xlfn.TEXTJOIN("-",TRUE,Table1[[#This Row],[Client]],Table1[[#This Row],[Budget ID]],Table1[[#This Row],[Ressource
'[Initials']]])</f>
        <v>Novo Nordisk-240019-DS</v>
      </c>
      <c r="L368" s="191" t="s">
        <v>444</v>
      </c>
      <c r="M368" s="22"/>
      <c r="N368" s="22"/>
      <c r="O368" s="23">
        <v>1</v>
      </c>
      <c r="P368" s="117" cm="1">
        <f t="array" ref="P368">_xlfn.XLOOKUP(Table1[[#This Row],[UID
'[Helper']]],Table2[[#All],[UID
'[Helper']]],Table2[[#All],[Rate
DKK]],"Not found :(",0,1)</f>
        <v>900</v>
      </c>
      <c r="Q368" s="117">
        <f t="shared" si="43"/>
        <v>900</v>
      </c>
      <c r="R368" s="118"/>
      <c r="S368" s="118"/>
    </row>
    <row r="369" spans="1:19" ht="13.5">
      <c r="A369" s="190" t="s">
        <v>92</v>
      </c>
      <c r="B369" s="190" t="s">
        <v>269</v>
      </c>
      <c r="C369" s="191" t="s">
        <v>400</v>
      </c>
      <c r="D369" s="192">
        <v>250402</v>
      </c>
      <c r="E369" s="190" t="s">
        <v>46</v>
      </c>
      <c r="F369" s="193">
        <v>45993</v>
      </c>
      <c r="G369" s="21">
        <f t="shared" si="41"/>
        <v>49</v>
      </c>
      <c r="H369" s="21" t="s">
        <v>20</v>
      </c>
      <c r="I369" s="79" t="str">
        <f t="shared" si="42"/>
        <v>12-2025</v>
      </c>
      <c r="J369" s="86" t="str">
        <f>(YEAR(F369)&amp;TEXT(Table1[[#This Row],[Week]],"00"))</f>
        <v>202549</v>
      </c>
      <c r="K369" s="79" t="str">
        <f>_xlfn.TEXTJOIN("-",TRUE,Table1[[#This Row],[Client]],Table1[[#This Row],[Budget ID]],Table1[[#This Row],[Ressource
'[Initials']]])</f>
        <v>Novo Nordisk-250402-DS</v>
      </c>
      <c r="L369" s="19" t="s">
        <v>447</v>
      </c>
      <c r="M369" s="22"/>
      <c r="N369" s="22"/>
      <c r="O369" s="23">
        <v>2</v>
      </c>
      <c r="P369" s="117" cm="1">
        <f t="array" ref="P369">_xlfn.XLOOKUP(Table1[[#This Row],[UID
'[Helper']]],Table2[[#All],[UID
'[Helper']]],Table2[[#All],[Rate
DKK]],"Not found :(",0,1)</f>
        <v>900</v>
      </c>
      <c r="Q369" s="117">
        <f t="shared" si="43"/>
        <v>1800</v>
      </c>
      <c r="R369" s="118"/>
      <c r="S369" s="118"/>
    </row>
    <row r="370" spans="1:19" ht="27">
      <c r="A370" s="190" t="s">
        <v>92</v>
      </c>
      <c r="B370" s="190" t="s">
        <v>269</v>
      </c>
      <c r="C370" s="191" t="s">
        <v>401</v>
      </c>
      <c r="D370" s="192">
        <v>250402</v>
      </c>
      <c r="E370" s="190" t="s">
        <v>46</v>
      </c>
      <c r="F370" s="193">
        <v>45993</v>
      </c>
      <c r="G370" s="21">
        <f t="shared" si="41"/>
        <v>49</v>
      </c>
      <c r="H370" s="21" t="s">
        <v>20</v>
      </c>
      <c r="I370" s="79" t="str">
        <f t="shared" si="42"/>
        <v>12-2025</v>
      </c>
      <c r="J370" s="86" t="str">
        <f>(YEAR(F370)&amp;TEXT(Table1[[#This Row],[Week]],"00"))</f>
        <v>202549</v>
      </c>
      <c r="K370" s="79" t="str">
        <f>_xlfn.TEXTJOIN("-",TRUE,Table1[[#This Row],[Client]],Table1[[#This Row],[Budget ID]],Table1[[#This Row],[Ressource
'[Initials']]])</f>
        <v>Novo Nordisk-250402-DS</v>
      </c>
      <c r="L370" s="19" t="s">
        <v>446</v>
      </c>
      <c r="M370" s="22"/>
      <c r="N370" s="22"/>
      <c r="O370" s="23">
        <v>8</v>
      </c>
      <c r="P370" s="117" cm="1">
        <f t="array" ref="P370">_xlfn.XLOOKUP(Table1[[#This Row],[UID
'[Helper']]],Table2[[#All],[UID
'[Helper']]],Table2[[#All],[Rate
DKK]],"Not found :(",0,1)</f>
        <v>900</v>
      </c>
      <c r="Q370" s="117">
        <f t="shared" si="43"/>
        <v>7200</v>
      </c>
      <c r="R370" s="118"/>
      <c r="S370" s="118"/>
    </row>
    <row r="371" spans="1:19" ht="27">
      <c r="A371" s="182" t="s">
        <v>107</v>
      </c>
      <c r="B371" s="182" t="s">
        <v>154</v>
      </c>
      <c r="C371" s="183"/>
      <c r="D371" s="49">
        <v>240021</v>
      </c>
      <c r="E371" s="182" t="s">
        <v>37</v>
      </c>
      <c r="F371" s="184">
        <v>45993</v>
      </c>
      <c r="G371" s="185">
        <f t="shared" si="41"/>
        <v>49</v>
      </c>
      <c r="H371" s="185" t="s">
        <v>54</v>
      </c>
      <c r="I371" s="79" t="str">
        <f t="shared" si="42"/>
        <v>12-2025</v>
      </c>
      <c r="J371" s="86" t="str">
        <f>(YEAR(F371)&amp;TEXT(Table1[[#This Row],[Week]],"00"))</f>
        <v>202549</v>
      </c>
      <c r="K371" s="79" t="str">
        <f>_xlfn.TEXTJOIN("-",TRUE,Table1[[#This Row],[Client]],Table1[[#This Row],[Budget ID]],Table1[[#This Row],[Ressource
'[Initials']]])</f>
        <v>Zystm-240021-ML</v>
      </c>
      <c r="L371" s="19" t="s">
        <v>489</v>
      </c>
      <c r="M371" s="22"/>
      <c r="N371" s="22"/>
      <c r="O371" s="23">
        <v>5</v>
      </c>
      <c r="P371" s="117" cm="1">
        <f t="array" ref="P371">_xlfn.XLOOKUP(Table1[[#This Row],[UID
'[Helper']]],Table2[[#All],[UID
'[Helper']]],Table2[[#All],[Rate
DKK]],"Not found :(",0,1)</f>
        <v>850</v>
      </c>
      <c r="Q371" s="117">
        <f t="shared" si="43"/>
        <v>4250</v>
      </c>
      <c r="R371" s="118"/>
      <c r="S371" s="118"/>
    </row>
    <row r="372" spans="1:19" ht="13.5">
      <c r="A372" s="182" t="s">
        <v>107</v>
      </c>
      <c r="B372" s="182" t="s">
        <v>153</v>
      </c>
      <c r="C372" s="183"/>
      <c r="D372" s="49">
        <v>240021</v>
      </c>
      <c r="E372" s="182" t="s">
        <v>37</v>
      </c>
      <c r="F372" s="184">
        <v>45993</v>
      </c>
      <c r="G372" s="185">
        <f t="shared" si="41"/>
        <v>49</v>
      </c>
      <c r="H372" s="185" t="s">
        <v>54</v>
      </c>
      <c r="I372" s="79" t="str">
        <f t="shared" si="42"/>
        <v>12-2025</v>
      </c>
      <c r="J372" s="86" t="str">
        <f>(YEAR(F372)&amp;TEXT(Table1[[#This Row],[Week]],"00"))</f>
        <v>202549</v>
      </c>
      <c r="K372" s="79" t="str">
        <f>_xlfn.TEXTJOIN("-",TRUE,Table1[[#This Row],[Client]],Table1[[#This Row],[Budget ID]],Table1[[#This Row],[Ressource
'[Initials']]])</f>
        <v>Zystm-240021-ML</v>
      </c>
      <c r="L372" s="19" t="s">
        <v>490</v>
      </c>
      <c r="M372" s="22"/>
      <c r="N372" s="22"/>
      <c r="O372" s="23">
        <v>3.5</v>
      </c>
      <c r="P372" s="117" cm="1">
        <f t="array" ref="P372">_xlfn.XLOOKUP(Table1[[#This Row],[UID
'[Helper']]],Table2[[#All],[UID
'[Helper']]],Table2[[#All],[Rate
DKK]],"Not found :(",0,1)</f>
        <v>850</v>
      </c>
      <c r="Q372" s="117">
        <f t="shared" si="43"/>
        <v>2975</v>
      </c>
      <c r="R372" s="118"/>
      <c r="S372" s="118"/>
    </row>
    <row r="373" spans="1:19" ht="13.5">
      <c r="A373" s="182" t="s">
        <v>92</v>
      </c>
      <c r="B373" s="182" t="s">
        <v>269</v>
      </c>
      <c r="C373" s="183" t="s">
        <v>401</v>
      </c>
      <c r="D373" s="49">
        <v>250402</v>
      </c>
      <c r="E373" s="182" t="s">
        <v>46</v>
      </c>
      <c r="F373" s="184">
        <v>45993</v>
      </c>
      <c r="G373" s="21">
        <f t="shared" si="41"/>
        <v>49</v>
      </c>
      <c r="H373" s="21" t="s">
        <v>54</v>
      </c>
      <c r="I373" s="79" t="str">
        <f t="shared" si="42"/>
        <v>12-2025</v>
      </c>
      <c r="J373" s="86" t="str">
        <f>(YEAR(F373)&amp;TEXT(Table1[[#This Row],[Week]],"00"))</f>
        <v>202549</v>
      </c>
      <c r="K373" s="79" t="str">
        <f>_xlfn.TEXTJOIN("-",TRUE,Table1[[#This Row],[Client]],Table1[[#This Row],[Budget ID]],Table1[[#This Row],[Ressource
'[Initials']]])</f>
        <v>Novo Nordisk-250402-ML</v>
      </c>
      <c r="L373" s="19" t="s">
        <v>491</v>
      </c>
      <c r="M373" s="22"/>
      <c r="N373" s="22"/>
      <c r="O373" s="23">
        <v>2</v>
      </c>
      <c r="P373" s="117" cm="1">
        <f t="array" ref="P373">_xlfn.XLOOKUP(Table1[[#This Row],[UID
'[Helper']]],Table2[[#All],[UID
'[Helper']]],Table2[[#All],[Rate
DKK]],"Not found :(",0,1)</f>
        <v>900</v>
      </c>
      <c r="Q373" s="117">
        <f t="shared" si="43"/>
        <v>1800</v>
      </c>
      <c r="R373" s="118"/>
      <c r="S373" s="118"/>
    </row>
    <row r="374" spans="1:19" ht="13.5">
      <c r="A374" s="190" t="s">
        <v>92</v>
      </c>
      <c r="B374" s="190" t="s">
        <v>269</v>
      </c>
      <c r="C374" s="191" t="s">
        <v>400</v>
      </c>
      <c r="D374" s="192">
        <v>250402</v>
      </c>
      <c r="E374" s="190" t="s">
        <v>46</v>
      </c>
      <c r="F374" s="20">
        <v>45994</v>
      </c>
      <c r="G374" s="21">
        <f t="shared" si="41"/>
        <v>49</v>
      </c>
      <c r="H374" s="21" t="s">
        <v>20</v>
      </c>
      <c r="I374" s="79" t="str">
        <f t="shared" si="42"/>
        <v>12-2025</v>
      </c>
      <c r="J374" s="86" t="str">
        <f>(YEAR(F374)&amp;TEXT(Table1[[#This Row],[Week]],"00"))</f>
        <v>202549</v>
      </c>
      <c r="K374" s="79" t="str">
        <f>_xlfn.TEXTJOIN("-",TRUE,Table1[[#This Row],[Client]],Table1[[#This Row],[Budget ID]],Table1[[#This Row],[Ressource
'[Initials']]])</f>
        <v>Novo Nordisk-250402-DS</v>
      </c>
      <c r="L374" s="19" t="s">
        <v>450</v>
      </c>
      <c r="M374" s="22"/>
      <c r="N374" s="22"/>
      <c r="O374" s="23">
        <v>1</v>
      </c>
      <c r="P374" s="117" cm="1">
        <f t="array" ref="P374">_xlfn.XLOOKUP(Table1[[#This Row],[UID
'[Helper']]],Table2[[#All],[UID
'[Helper']]],Table2[[#All],[Rate
DKK]],"Not found :(",0,1)</f>
        <v>900</v>
      </c>
      <c r="Q374" s="117">
        <f t="shared" si="43"/>
        <v>900</v>
      </c>
      <c r="R374" s="118"/>
      <c r="S374" s="118"/>
    </row>
    <row r="375" spans="1:19" ht="27">
      <c r="A375" s="190" t="s">
        <v>92</v>
      </c>
      <c r="B375" s="190" t="s">
        <v>269</v>
      </c>
      <c r="C375" s="191" t="s">
        <v>401</v>
      </c>
      <c r="D375" s="192">
        <v>250402</v>
      </c>
      <c r="E375" s="190" t="s">
        <v>46</v>
      </c>
      <c r="F375" s="20">
        <v>45994</v>
      </c>
      <c r="G375" s="21">
        <f t="shared" si="41"/>
        <v>49</v>
      </c>
      <c r="H375" s="21" t="s">
        <v>20</v>
      </c>
      <c r="I375" s="79" t="str">
        <f t="shared" si="42"/>
        <v>12-2025</v>
      </c>
      <c r="J375" s="86" t="str">
        <f>(YEAR(F375)&amp;TEXT(Table1[[#This Row],[Week]],"00"))</f>
        <v>202549</v>
      </c>
      <c r="K375" s="79" t="str">
        <f>_xlfn.TEXTJOIN("-",TRUE,Table1[[#This Row],[Client]],Table1[[#This Row],[Budget ID]],Table1[[#This Row],[Ressource
'[Initials']]])</f>
        <v>Novo Nordisk-250402-DS</v>
      </c>
      <c r="L375" s="19" t="s">
        <v>449</v>
      </c>
      <c r="M375" s="22"/>
      <c r="N375" s="22"/>
      <c r="O375" s="23">
        <v>9</v>
      </c>
      <c r="P375" s="117" cm="1">
        <f t="array" ref="P375">_xlfn.XLOOKUP(Table1[[#This Row],[UID
'[Helper']]],Table2[[#All],[UID
'[Helper']]],Table2[[#All],[Rate
DKK]],"Not found :(",0,1)</f>
        <v>900</v>
      </c>
      <c r="Q375" s="117">
        <f t="shared" si="43"/>
        <v>8100</v>
      </c>
      <c r="R375" s="118"/>
      <c r="S375" s="118"/>
    </row>
    <row r="376" spans="1:19" ht="13.5">
      <c r="A376" s="18" t="s">
        <v>14</v>
      </c>
      <c r="B376" s="18" t="s">
        <v>24</v>
      </c>
      <c r="C376" s="19" t="s">
        <v>72</v>
      </c>
      <c r="D376" s="49" t="s">
        <v>218</v>
      </c>
      <c r="E376" s="18" t="s">
        <v>37</v>
      </c>
      <c r="F376" s="20">
        <v>45994</v>
      </c>
      <c r="G376" s="21">
        <f t="shared" si="41"/>
        <v>49</v>
      </c>
      <c r="H376" s="21" t="s">
        <v>22</v>
      </c>
      <c r="I376" s="79" t="str">
        <f t="shared" si="42"/>
        <v>12-2025</v>
      </c>
      <c r="J376" s="86" t="str">
        <f>(YEAR(F376)&amp;TEXT(Table1[[#This Row],[Week]],"00"))</f>
        <v>202549</v>
      </c>
      <c r="K376" s="79" t="str">
        <f>_xlfn.TEXTJOIN("-",TRUE,Table1[[#This Row],[Client]],Table1[[#This Row],[Budget ID]],Table1[[#This Row],[Ressource
'[Initials']]])</f>
        <v>Labflex-230003-1-MS</v>
      </c>
      <c r="L376" s="19" t="s">
        <v>451</v>
      </c>
      <c r="M376" s="22"/>
      <c r="N376" s="22"/>
      <c r="O376" s="23">
        <v>1</v>
      </c>
      <c r="P376" s="117" cm="1">
        <f t="array" ref="P376">_xlfn.XLOOKUP(Table1[[#This Row],[UID
'[Helper']]],Table2[[#All],[UID
'[Helper']]],Table2[[#All],[Rate
DKK]],"Not found :(",0,1)</f>
        <v>900</v>
      </c>
      <c r="Q376" s="117">
        <f t="shared" si="43"/>
        <v>900</v>
      </c>
      <c r="R376" s="118"/>
      <c r="S376" s="118"/>
    </row>
    <row r="377" spans="1:19" ht="13.5">
      <c r="A377" s="18" t="s">
        <v>14</v>
      </c>
      <c r="B377" s="18" t="s">
        <v>24</v>
      </c>
      <c r="C377" s="19" t="s">
        <v>71</v>
      </c>
      <c r="D377" s="49" t="s">
        <v>218</v>
      </c>
      <c r="E377" s="18" t="s">
        <v>37</v>
      </c>
      <c r="F377" s="20">
        <v>45994</v>
      </c>
      <c r="G377" s="21">
        <f t="shared" si="41"/>
        <v>49</v>
      </c>
      <c r="H377" s="21" t="s">
        <v>22</v>
      </c>
      <c r="I377" s="79" t="str">
        <f t="shared" si="42"/>
        <v>12-2025</v>
      </c>
      <c r="J377" s="86" t="str">
        <f>(YEAR(F377)&amp;TEXT(Table1[[#This Row],[Week]],"00"))</f>
        <v>202549</v>
      </c>
      <c r="K377" s="79" t="str">
        <f>_xlfn.TEXTJOIN("-",TRUE,Table1[[#This Row],[Client]],Table1[[#This Row],[Budget ID]],Table1[[#This Row],[Ressource
'[Initials']]])</f>
        <v>Labflex-230003-1-MS</v>
      </c>
      <c r="L377" s="19" t="s">
        <v>451</v>
      </c>
      <c r="M377" s="22"/>
      <c r="N377" s="22"/>
      <c r="O377" s="23">
        <v>0.5</v>
      </c>
      <c r="P377" s="117" cm="1">
        <f t="array" ref="P377">_xlfn.XLOOKUP(Table1[[#This Row],[UID
'[Helper']]],Table2[[#All],[UID
'[Helper']]],Table2[[#All],[Rate
DKK]],"Not found :(",0,1)</f>
        <v>900</v>
      </c>
      <c r="Q377" s="117">
        <f t="shared" si="43"/>
        <v>450</v>
      </c>
      <c r="R377" s="118"/>
      <c r="S377" s="118"/>
    </row>
    <row r="378" spans="1:19" ht="27">
      <c r="A378" s="18" t="s">
        <v>14</v>
      </c>
      <c r="B378" s="18" t="s">
        <v>24</v>
      </c>
      <c r="C378" s="19" t="s">
        <v>371</v>
      </c>
      <c r="D378" s="49" t="s">
        <v>218</v>
      </c>
      <c r="E378" s="18" t="s">
        <v>46</v>
      </c>
      <c r="F378" s="20">
        <v>45994</v>
      </c>
      <c r="G378" s="21">
        <f t="shared" si="41"/>
        <v>49</v>
      </c>
      <c r="H378" s="21" t="s">
        <v>22</v>
      </c>
      <c r="I378" s="79" t="str">
        <f t="shared" si="42"/>
        <v>12-2025</v>
      </c>
      <c r="J378" s="86" t="str">
        <f>(YEAR(F378)&amp;TEXT(Table1[[#This Row],[Week]],"00"))</f>
        <v>202549</v>
      </c>
      <c r="K378" s="79" t="str">
        <f>_xlfn.TEXTJOIN("-",TRUE,Table1[[#This Row],[Client]],Table1[[#This Row],[Budget ID]],Table1[[#This Row],[Ressource
'[Initials']]])</f>
        <v>Labflex-230003-1-MS</v>
      </c>
      <c r="L378" s="19" t="s">
        <v>452</v>
      </c>
      <c r="M378" s="22"/>
      <c r="N378" s="22"/>
      <c r="O378" s="23">
        <v>1.5</v>
      </c>
      <c r="P378" s="117" cm="1">
        <f t="array" ref="P378">_xlfn.XLOOKUP(Table1[[#This Row],[UID
'[Helper']]],Table2[[#All],[UID
'[Helper']]],Table2[[#All],[Rate
DKK]],"Not found :(",0,1)</f>
        <v>900</v>
      </c>
      <c r="Q378" s="117">
        <f t="shared" si="43"/>
        <v>1350</v>
      </c>
      <c r="R378" s="118"/>
      <c r="S378" s="118"/>
    </row>
    <row r="379" spans="1:19" ht="27">
      <c r="A379" s="18" t="s">
        <v>14</v>
      </c>
      <c r="B379" s="18" t="s">
        <v>24</v>
      </c>
      <c r="C379" s="19" t="s">
        <v>370</v>
      </c>
      <c r="D379" s="49" t="s">
        <v>218</v>
      </c>
      <c r="E379" s="18" t="s">
        <v>46</v>
      </c>
      <c r="F379" s="20">
        <v>45994</v>
      </c>
      <c r="G379" s="21">
        <f t="shared" si="41"/>
        <v>49</v>
      </c>
      <c r="H379" s="21" t="s">
        <v>22</v>
      </c>
      <c r="I379" s="79" t="str">
        <f t="shared" si="42"/>
        <v>12-2025</v>
      </c>
      <c r="J379" s="86" t="str">
        <f>(YEAR(F379)&amp;TEXT(Table1[[#This Row],[Week]],"00"))</f>
        <v>202549</v>
      </c>
      <c r="K379" s="79" t="str">
        <f>_xlfn.TEXTJOIN("-",TRUE,Table1[[#This Row],[Client]],Table1[[#This Row],[Budget ID]],Table1[[#This Row],[Ressource
'[Initials']]])</f>
        <v>Labflex-230003-1-MS</v>
      </c>
      <c r="L379" s="19" t="s">
        <v>457</v>
      </c>
      <c r="M379" s="22"/>
      <c r="N379" s="22"/>
      <c r="O379" s="23">
        <v>1.5</v>
      </c>
      <c r="P379" s="117" cm="1">
        <f t="array" ref="P379">_xlfn.XLOOKUP(Table1[[#This Row],[UID
'[Helper']]],Table2[[#All],[UID
'[Helper']]],Table2[[#All],[Rate
DKK]],"Not found :(",0,1)</f>
        <v>900</v>
      </c>
      <c r="Q379" s="117">
        <f t="shared" si="43"/>
        <v>1350</v>
      </c>
      <c r="R379" s="118"/>
      <c r="S379" s="118"/>
    </row>
    <row r="380" spans="1:19" ht="27">
      <c r="A380" s="18" t="s">
        <v>14</v>
      </c>
      <c r="B380" s="18" t="s">
        <v>24</v>
      </c>
      <c r="C380" s="19" t="s">
        <v>273</v>
      </c>
      <c r="D380" s="49" t="s">
        <v>218</v>
      </c>
      <c r="E380" s="18" t="s">
        <v>79</v>
      </c>
      <c r="F380" s="20">
        <v>45994</v>
      </c>
      <c r="G380" s="21">
        <f t="shared" si="41"/>
        <v>49</v>
      </c>
      <c r="H380" s="21" t="s">
        <v>22</v>
      </c>
      <c r="I380" s="79" t="str">
        <f t="shared" si="42"/>
        <v>12-2025</v>
      </c>
      <c r="J380" s="86" t="str">
        <f>(YEAR(F380)&amp;TEXT(Table1[[#This Row],[Week]],"00"))</f>
        <v>202549</v>
      </c>
      <c r="K380" s="79" t="str">
        <f>_xlfn.TEXTJOIN("-",TRUE,Table1[[#This Row],[Client]],Table1[[#This Row],[Budget ID]],Table1[[#This Row],[Ressource
'[Initials']]])</f>
        <v>Labflex-230003-1-MS</v>
      </c>
      <c r="L380" s="19" t="s">
        <v>454</v>
      </c>
      <c r="M380" s="22"/>
      <c r="N380" s="22"/>
      <c r="O380" s="23">
        <v>1</v>
      </c>
      <c r="P380" s="117" cm="1">
        <f t="array" ref="P380">_xlfn.XLOOKUP(Table1[[#This Row],[UID
'[Helper']]],Table2[[#All],[UID
'[Helper']]],Table2[[#All],[Rate
DKK]],"Not found :(",0,1)</f>
        <v>900</v>
      </c>
      <c r="Q380" s="117">
        <f t="shared" si="43"/>
        <v>900</v>
      </c>
      <c r="R380" s="118"/>
      <c r="S380" s="118"/>
    </row>
    <row r="381" spans="1:19" ht="27">
      <c r="A381" s="18" t="s">
        <v>14</v>
      </c>
      <c r="B381" s="18" t="s">
        <v>24</v>
      </c>
      <c r="C381" s="19" t="s">
        <v>277</v>
      </c>
      <c r="D381" s="49" t="s">
        <v>218</v>
      </c>
      <c r="E381" s="18" t="s">
        <v>79</v>
      </c>
      <c r="F381" s="20">
        <v>45994</v>
      </c>
      <c r="G381" s="21">
        <f t="shared" si="41"/>
        <v>49</v>
      </c>
      <c r="H381" s="21" t="s">
        <v>22</v>
      </c>
      <c r="I381" s="79" t="str">
        <f t="shared" si="42"/>
        <v>12-2025</v>
      </c>
      <c r="J381" s="86" t="str">
        <f>(YEAR(F381)&amp;TEXT(Table1[[#This Row],[Week]],"00"))</f>
        <v>202549</v>
      </c>
      <c r="K381" s="79" t="str">
        <f>_xlfn.TEXTJOIN("-",TRUE,Table1[[#This Row],[Client]],Table1[[#This Row],[Budget ID]],Table1[[#This Row],[Ressource
'[Initials']]])</f>
        <v>Labflex-230003-1-MS</v>
      </c>
      <c r="L381" s="19" t="s">
        <v>453</v>
      </c>
      <c r="M381" s="22"/>
      <c r="N381" s="22"/>
      <c r="O381" s="23">
        <v>1</v>
      </c>
      <c r="P381" s="117" cm="1">
        <f t="array" ref="P381">_xlfn.XLOOKUP(Table1[[#This Row],[UID
'[Helper']]],Table2[[#All],[UID
'[Helper']]],Table2[[#All],[Rate
DKK]],"Not found :(",0,1)</f>
        <v>900</v>
      </c>
      <c r="Q381" s="117">
        <f t="shared" si="43"/>
        <v>900</v>
      </c>
      <c r="R381" s="118"/>
      <c r="S381" s="118"/>
    </row>
    <row r="382" spans="1:19" ht="27">
      <c r="A382" s="18" t="s">
        <v>14</v>
      </c>
      <c r="B382" s="18" t="s">
        <v>24</v>
      </c>
      <c r="C382" s="19" t="s">
        <v>268</v>
      </c>
      <c r="D382" s="49" t="s">
        <v>218</v>
      </c>
      <c r="E382" s="18" t="s">
        <v>79</v>
      </c>
      <c r="F382" s="20">
        <v>45994</v>
      </c>
      <c r="G382" s="21">
        <f t="shared" si="41"/>
        <v>49</v>
      </c>
      <c r="H382" s="21" t="s">
        <v>22</v>
      </c>
      <c r="I382" s="79" t="str">
        <f t="shared" si="42"/>
        <v>12-2025</v>
      </c>
      <c r="J382" s="86" t="str">
        <f>(YEAR(F382)&amp;TEXT(Table1[[#This Row],[Week]],"00"))</f>
        <v>202549</v>
      </c>
      <c r="K382" s="79" t="str">
        <f>_xlfn.TEXTJOIN("-",TRUE,Table1[[#This Row],[Client]],Table1[[#This Row],[Budget ID]],Table1[[#This Row],[Ressource
'[Initials']]])</f>
        <v>Labflex-230003-1-MS</v>
      </c>
      <c r="L382" s="19" t="s">
        <v>453</v>
      </c>
      <c r="M382" s="22"/>
      <c r="N382" s="22"/>
      <c r="O382" s="23">
        <v>1</v>
      </c>
      <c r="P382" s="117" cm="1">
        <f t="array" ref="P382">_xlfn.XLOOKUP(Table1[[#This Row],[UID
'[Helper']]],Table2[[#All],[UID
'[Helper']]],Table2[[#All],[Rate
DKK]],"Not found :(",0,1)</f>
        <v>900</v>
      </c>
      <c r="Q382" s="117">
        <f t="shared" si="43"/>
        <v>900</v>
      </c>
      <c r="R382" s="118"/>
      <c r="S382" s="118"/>
    </row>
    <row r="383" spans="1:19" ht="13.5">
      <c r="A383" s="18" t="s">
        <v>92</v>
      </c>
      <c r="B383" s="18" t="s">
        <v>269</v>
      </c>
      <c r="C383" s="19" t="s">
        <v>400</v>
      </c>
      <c r="D383" s="49">
        <v>250402</v>
      </c>
      <c r="E383" s="18" t="s">
        <v>46</v>
      </c>
      <c r="F383" s="20">
        <v>45994</v>
      </c>
      <c r="G383" s="21">
        <f t="shared" si="41"/>
        <v>49</v>
      </c>
      <c r="H383" s="21" t="s">
        <v>22</v>
      </c>
      <c r="I383" s="79" t="str">
        <f t="shared" si="42"/>
        <v>12-2025</v>
      </c>
      <c r="J383" s="86" t="str">
        <f>(YEAR(F383)&amp;TEXT(Table1[[#This Row],[Week]],"00"))</f>
        <v>202549</v>
      </c>
      <c r="K383" s="79" t="str">
        <f>_xlfn.TEXTJOIN("-",TRUE,Table1[[#This Row],[Client]],Table1[[#This Row],[Budget ID]],Table1[[#This Row],[Ressource
'[Initials']]])</f>
        <v>Novo Nordisk-250402-MS</v>
      </c>
      <c r="L383" s="19" t="s">
        <v>456</v>
      </c>
      <c r="M383" s="22"/>
      <c r="N383" s="22"/>
      <c r="O383" s="23">
        <v>1</v>
      </c>
      <c r="P383" s="117" cm="1">
        <f t="array" ref="P383">_xlfn.XLOOKUP(Table1[[#This Row],[UID
'[Helper']]],Table2[[#All],[UID
'[Helper']]],Table2[[#All],[Rate
DKK]],"Not found :(",0,1)</f>
        <v>900</v>
      </c>
      <c r="Q383" s="117">
        <f t="shared" si="43"/>
        <v>900</v>
      </c>
      <c r="R383" s="118"/>
      <c r="S383" s="118"/>
    </row>
    <row r="384" spans="1:19" ht="27">
      <c r="A384" s="18" t="s">
        <v>92</v>
      </c>
      <c r="B384" s="18" t="s">
        <v>269</v>
      </c>
      <c r="C384" s="19" t="s">
        <v>401</v>
      </c>
      <c r="D384" s="49">
        <v>250402</v>
      </c>
      <c r="E384" s="18" t="s">
        <v>46</v>
      </c>
      <c r="F384" s="20">
        <v>45994</v>
      </c>
      <c r="G384" s="21">
        <f t="shared" si="41"/>
        <v>49</v>
      </c>
      <c r="H384" s="21" t="s">
        <v>22</v>
      </c>
      <c r="I384" s="79" t="str">
        <f t="shared" si="42"/>
        <v>12-2025</v>
      </c>
      <c r="J384" s="86" t="str">
        <f>(YEAR(F384)&amp;TEXT(Table1[[#This Row],[Week]],"00"))</f>
        <v>202549</v>
      </c>
      <c r="K384" s="79" t="str">
        <f>_xlfn.TEXTJOIN("-",TRUE,Table1[[#This Row],[Client]],Table1[[#This Row],[Budget ID]],Table1[[#This Row],[Ressource
'[Initials']]])</f>
        <v>Novo Nordisk-250402-MS</v>
      </c>
      <c r="L384" s="19" t="s">
        <v>455</v>
      </c>
      <c r="M384" s="22"/>
      <c r="N384" s="22"/>
      <c r="O384" s="23">
        <v>4.5</v>
      </c>
      <c r="P384" s="117" cm="1">
        <f t="array" ref="P384">_xlfn.XLOOKUP(Table1[[#This Row],[UID
'[Helper']]],Table2[[#All],[UID
'[Helper']]],Table2[[#All],[Rate
DKK]],"Not found :(",0,1)</f>
        <v>900</v>
      </c>
      <c r="Q384" s="117">
        <f t="shared" si="43"/>
        <v>4050</v>
      </c>
      <c r="R384" s="118"/>
      <c r="S384" s="118"/>
    </row>
    <row r="385" spans="1:19" ht="13.5">
      <c r="A385" s="190" t="s">
        <v>368</v>
      </c>
      <c r="B385" s="190" t="s">
        <v>448</v>
      </c>
      <c r="C385" s="191" t="s">
        <v>368</v>
      </c>
      <c r="D385" s="49">
        <v>250902</v>
      </c>
      <c r="E385" s="190" t="s">
        <v>79</v>
      </c>
      <c r="F385" s="20">
        <v>45994</v>
      </c>
      <c r="G385" s="21">
        <f t="shared" si="41"/>
        <v>49</v>
      </c>
      <c r="H385" s="21" t="s">
        <v>20</v>
      </c>
      <c r="I385" s="79" t="str">
        <f t="shared" si="42"/>
        <v>12-2025</v>
      </c>
      <c r="J385" s="86" t="str">
        <f>(YEAR(F385)&amp;TEXT(Table1[[#This Row],[Week]],"00"))</f>
        <v>202549</v>
      </c>
      <c r="K385" s="79" t="str">
        <f>_xlfn.TEXTJOIN("-",TRUE,Table1[[#This Row],[Client]],Table1[[#This Row],[Budget ID]],Table1[[#This Row],[Ressource
'[Initials']]])</f>
        <v>Kyodo Projects-250902-DS</v>
      </c>
      <c r="L385" s="19" t="s">
        <v>461</v>
      </c>
      <c r="M385" s="22"/>
      <c r="N385" s="22"/>
      <c r="O385" s="23">
        <v>1.5</v>
      </c>
      <c r="P385" s="117" cm="1">
        <f t="array" ref="P385">_xlfn.XLOOKUP(Table1[[#This Row],[UID
'[Helper']]],Table2[[#All],[UID
'[Helper']]],Table2[[#All],[Rate
DKK]],"Not found :(",0,1)</f>
        <v>900</v>
      </c>
      <c r="Q385" s="117">
        <f t="shared" si="43"/>
        <v>1350</v>
      </c>
      <c r="R385" s="118"/>
      <c r="S385" s="118"/>
    </row>
    <row r="386" spans="1:19" ht="13.5">
      <c r="A386" s="18" t="s">
        <v>368</v>
      </c>
      <c r="B386" s="18" t="s">
        <v>448</v>
      </c>
      <c r="C386" s="19" t="s">
        <v>368</v>
      </c>
      <c r="D386" s="49">
        <v>250902</v>
      </c>
      <c r="E386" s="18" t="s">
        <v>79</v>
      </c>
      <c r="F386" s="20">
        <v>45994</v>
      </c>
      <c r="G386" s="21">
        <f t="shared" si="41"/>
        <v>49</v>
      </c>
      <c r="H386" s="21" t="s">
        <v>22</v>
      </c>
      <c r="I386" s="79" t="str">
        <f t="shared" si="42"/>
        <v>12-2025</v>
      </c>
      <c r="J386" s="86" t="str">
        <f>(YEAR(F386)&amp;TEXT(Table1[[#This Row],[Week]],"00"))</f>
        <v>202549</v>
      </c>
      <c r="K386" s="79" t="str">
        <f>_xlfn.TEXTJOIN("-",TRUE,Table1[[#This Row],[Client]],Table1[[#This Row],[Budget ID]],Table1[[#This Row],[Ressource
'[Initials']]])</f>
        <v>Kyodo Projects-250902-MS</v>
      </c>
      <c r="L386" s="19" t="s">
        <v>443</v>
      </c>
      <c r="M386" s="22"/>
      <c r="N386" s="22"/>
      <c r="O386" s="23">
        <v>1</v>
      </c>
      <c r="P386" s="117" cm="1">
        <f t="array" ref="P386">_xlfn.XLOOKUP(Table1[[#This Row],[UID
'[Helper']]],Table2[[#All],[UID
'[Helper']]],Table2[[#All],[Rate
DKK]],"Not found :(",0,1)</f>
        <v>900</v>
      </c>
      <c r="Q386" s="117">
        <f t="shared" si="43"/>
        <v>900</v>
      </c>
      <c r="R386" s="118"/>
      <c r="S386" s="118"/>
    </row>
    <row r="387" spans="1:19" ht="27">
      <c r="A387" s="182" t="s">
        <v>107</v>
      </c>
      <c r="B387" s="182" t="s">
        <v>154</v>
      </c>
      <c r="C387" s="183"/>
      <c r="D387" s="49">
        <v>240021</v>
      </c>
      <c r="E387" s="182" t="s">
        <v>37</v>
      </c>
      <c r="F387" s="184">
        <v>45994</v>
      </c>
      <c r="G387" s="185">
        <f t="shared" si="41"/>
        <v>49</v>
      </c>
      <c r="H387" s="185" t="s">
        <v>54</v>
      </c>
      <c r="I387" s="79" t="str">
        <f t="shared" si="42"/>
        <v>12-2025</v>
      </c>
      <c r="J387" s="86" t="str">
        <f>(YEAR(F387)&amp;TEXT(Table1[[#This Row],[Week]],"00"))</f>
        <v>202549</v>
      </c>
      <c r="K387" s="79" t="str">
        <f>_xlfn.TEXTJOIN("-",TRUE,Table1[[#This Row],[Client]],Table1[[#This Row],[Budget ID]],Table1[[#This Row],[Ressource
'[Initials']]])</f>
        <v>Zystm-240021-ML</v>
      </c>
      <c r="L387" s="19" t="s">
        <v>492</v>
      </c>
      <c r="M387" s="22"/>
      <c r="N387" s="22"/>
      <c r="O387" s="23">
        <v>7</v>
      </c>
      <c r="P387" s="117" cm="1">
        <f t="array" ref="P387">_xlfn.XLOOKUP(Table1[[#This Row],[UID
'[Helper']]],Table2[[#All],[UID
'[Helper']]],Table2[[#All],[Rate
DKK]],"Not found :(",0,1)</f>
        <v>850</v>
      </c>
      <c r="Q387" s="117">
        <f t="shared" si="43"/>
        <v>5950</v>
      </c>
      <c r="R387" s="118"/>
      <c r="S387" s="118"/>
    </row>
    <row r="388" spans="1:19" ht="13.5">
      <c r="A388" s="182" t="s">
        <v>107</v>
      </c>
      <c r="B388" s="182" t="s">
        <v>153</v>
      </c>
      <c r="C388" s="183"/>
      <c r="D388" s="49">
        <v>240021</v>
      </c>
      <c r="E388" s="182" t="s">
        <v>37</v>
      </c>
      <c r="F388" s="184">
        <v>45994</v>
      </c>
      <c r="G388" s="185">
        <f t="shared" si="41"/>
        <v>49</v>
      </c>
      <c r="H388" s="185" t="s">
        <v>54</v>
      </c>
      <c r="I388" s="79" t="str">
        <f t="shared" si="42"/>
        <v>12-2025</v>
      </c>
      <c r="J388" s="86" t="str">
        <f>(YEAR(F388)&amp;TEXT(Table1[[#This Row],[Week]],"00"))</f>
        <v>202549</v>
      </c>
      <c r="K388" s="79" t="str">
        <f>_xlfn.TEXTJOIN("-",TRUE,Table1[[#This Row],[Client]],Table1[[#This Row],[Budget ID]],Table1[[#This Row],[Ressource
'[Initials']]])</f>
        <v>Zystm-240021-ML</v>
      </c>
      <c r="L388" s="19" t="s">
        <v>493</v>
      </c>
      <c r="M388" s="22"/>
      <c r="N388" s="22"/>
      <c r="O388" s="23">
        <v>1</v>
      </c>
      <c r="P388" s="117" cm="1">
        <f t="array" ref="P388">_xlfn.XLOOKUP(Table1[[#This Row],[UID
'[Helper']]],Table2[[#All],[UID
'[Helper']]],Table2[[#All],[Rate
DKK]],"Not found :(",0,1)</f>
        <v>850</v>
      </c>
      <c r="Q388" s="117">
        <f t="shared" si="43"/>
        <v>850</v>
      </c>
      <c r="R388" s="118"/>
      <c r="S388" s="118"/>
    </row>
    <row r="389" spans="1:19" ht="13.5">
      <c r="A389" s="182" t="s">
        <v>92</v>
      </c>
      <c r="B389" s="182" t="s">
        <v>269</v>
      </c>
      <c r="C389" s="183" t="s">
        <v>401</v>
      </c>
      <c r="D389" s="49">
        <v>250402</v>
      </c>
      <c r="E389" s="182" t="s">
        <v>46</v>
      </c>
      <c r="F389" s="184">
        <v>45994</v>
      </c>
      <c r="G389" s="21">
        <f t="shared" si="41"/>
        <v>49</v>
      </c>
      <c r="H389" s="21" t="s">
        <v>54</v>
      </c>
      <c r="I389" s="79" t="str">
        <f t="shared" si="42"/>
        <v>12-2025</v>
      </c>
      <c r="J389" s="86" t="str">
        <f>(YEAR(F389)&amp;TEXT(Table1[[#This Row],[Week]],"00"))</f>
        <v>202549</v>
      </c>
      <c r="K389" s="79" t="str">
        <f>_xlfn.TEXTJOIN("-",TRUE,Table1[[#This Row],[Client]],Table1[[#This Row],[Budget ID]],Table1[[#This Row],[Ressource
'[Initials']]])</f>
        <v>Novo Nordisk-250402-ML</v>
      </c>
      <c r="L389" s="19" t="s">
        <v>494</v>
      </c>
      <c r="M389" s="22"/>
      <c r="N389" s="22"/>
      <c r="O389" s="23">
        <v>3</v>
      </c>
      <c r="P389" s="117" cm="1">
        <f t="array" ref="P389">_xlfn.XLOOKUP(Table1[[#This Row],[UID
'[Helper']]],Table2[[#All],[UID
'[Helper']]],Table2[[#All],[Rate
DKK]],"Not found :(",0,1)</f>
        <v>900</v>
      </c>
      <c r="Q389" s="117">
        <f t="shared" si="43"/>
        <v>2700</v>
      </c>
      <c r="R389" s="118"/>
      <c r="S389" s="118"/>
    </row>
    <row r="390" spans="1:19" ht="13.5">
      <c r="A390" s="18" t="s">
        <v>14</v>
      </c>
      <c r="B390" s="18" t="s">
        <v>24</v>
      </c>
      <c r="C390" s="19" t="s">
        <v>72</v>
      </c>
      <c r="D390" s="49" t="s">
        <v>218</v>
      </c>
      <c r="E390" s="18" t="s">
        <v>37</v>
      </c>
      <c r="F390" s="20">
        <v>45995</v>
      </c>
      <c r="G390" s="21">
        <f t="shared" si="41"/>
        <v>49</v>
      </c>
      <c r="H390" s="21" t="s">
        <v>22</v>
      </c>
      <c r="I390" s="79" t="str">
        <f t="shared" si="42"/>
        <v>12-2025</v>
      </c>
      <c r="J390" s="86" t="str">
        <f>(YEAR(F390)&amp;TEXT(Table1[[#This Row],[Week]],"00"))</f>
        <v>202549</v>
      </c>
      <c r="K390" s="79" t="str">
        <f>_xlfn.TEXTJOIN("-",TRUE,Table1[[#This Row],[Client]],Table1[[#This Row],[Budget ID]],Table1[[#This Row],[Ressource
'[Initials']]])</f>
        <v>Labflex-230003-1-MS</v>
      </c>
      <c r="L390" s="19" t="s">
        <v>467</v>
      </c>
      <c r="M390" s="22"/>
      <c r="N390" s="22"/>
      <c r="O390" s="23">
        <v>0.5</v>
      </c>
      <c r="P390" s="117" cm="1">
        <f t="array" ref="P390">_xlfn.XLOOKUP(Table1[[#This Row],[UID
'[Helper']]],Table2[[#All],[UID
'[Helper']]],Table2[[#All],[Rate
DKK]],"Not found :(",0,1)</f>
        <v>900</v>
      </c>
      <c r="Q390" s="117">
        <f t="shared" si="43"/>
        <v>450</v>
      </c>
      <c r="R390" s="118"/>
      <c r="S390" s="118"/>
    </row>
    <row r="391" spans="1:19" ht="13.5">
      <c r="A391" s="18" t="s">
        <v>14</v>
      </c>
      <c r="B391" s="18" t="s">
        <v>24</v>
      </c>
      <c r="C391" s="19" t="s">
        <v>71</v>
      </c>
      <c r="D391" s="49" t="s">
        <v>218</v>
      </c>
      <c r="E391" s="18" t="s">
        <v>37</v>
      </c>
      <c r="F391" s="20">
        <v>45995</v>
      </c>
      <c r="G391" s="21">
        <f t="shared" si="41"/>
        <v>49</v>
      </c>
      <c r="H391" s="21" t="s">
        <v>22</v>
      </c>
      <c r="I391" s="79" t="str">
        <f t="shared" si="42"/>
        <v>12-2025</v>
      </c>
      <c r="J391" s="86" t="str">
        <f>(YEAR(F391)&amp;TEXT(Table1[[#This Row],[Week]],"00"))</f>
        <v>202549</v>
      </c>
      <c r="K391" s="79" t="str">
        <f>_xlfn.TEXTJOIN("-",TRUE,Table1[[#This Row],[Client]],Table1[[#This Row],[Budget ID]],Table1[[#This Row],[Ressource
'[Initials']]])</f>
        <v>Labflex-230003-1-MS</v>
      </c>
      <c r="L391" s="19" t="s">
        <v>467</v>
      </c>
      <c r="M391" s="22"/>
      <c r="N391" s="22"/>
      <c r="O391" s="23">
        <v>0.5</v>
      </c>
      <c r="P391" s="117" cm="1">
        <f t="array" ref="P391">_xlfn.XLOOKUP(Table1[[#This Row],[UID
'[Helper']]],Table2[[#All],[UID
'[Helper']]],Table2[[#All],[Rate
DKK]],"Not found :(",0,1)</f>
        <v>900</v>
      </c>
      <c r="Q391" s="117">
        <f t="shared" si="43"/>
        <v>450</v>
      </c>
      <c r="R391" s="118"/>
      <c r="S391" s="118"/>
    </row>
    <row r="392" spans="1:19" ht="27">
      <c r="A392" s="18" t="s">
        <v>14</v>
      </c>
      <c r="B392" s="18" t="s">
        <v>24</v>
      </c>
      <c r="C392" s="19" t="s">
        <v>371</v>
      </c>
      <c r="D392" s="49" t="s">
        <v>218</v>
      </c>
      <c r="E392" s="18" t="s">
        <v>46</v>
      </c>
      <c r="F392" s="20">
        <v>45995</v>
      </c>
      <c r="G392" s="21">
        <f t="shared" si="41"/>
        <v>49</v>
      </c>
      <c r="H392" s="21" t="s">
        <v>22</v>
      </c>
      <c r="I392" s="79" t="str">
        <f t="shared" si="42"/>
        <v>12-2025</v>
      </c>
      <c r="J392" s="86" t="str">
        <f>(YEAR(F392)&amp;TEXT(Table1[[#This Row],[Week]],"00"))</f>
        <v>202549</v>
      </c>
      <c r="K392" s="79" t="str">
        <f>_xlfn.TEXTJOIN("-",TRUE,Table1[[#This Row],[Client]],Table1[[#This Row],[Budget ID]],Table1[[#This Row],[Ressource
'[Initials']]])</f>
        <v>Labflex-230003-1-MS</v>
      </c>
      <c r="L392" s="19" t="s">
        <v>463</v>
      </c>
      <c r="M392" s="22"/>
      <c r="N392" s="22"/>
      <c r="O392" s="23">
        <v>2</v>
      </c>
      <c r="P392" s="117" cm="1">
        <f t="array" ref="P392">_xlfn.XLOOKUP(Table1[[#This Row],[UID
'[Helper']]],Table2[[#All],[UID
'[Helper']]],Table2[[#All],[Rate
DKK]],"Not found :(",0,1)</f>
        <v>900</v>
      </c>
      <c r="Q392" s="117">
        <f t="shared" si="43"/>
        <v>1800</v>
      </c>
      <c r="R392" s="118"/>
      <c r="S392" s="118"/>
    </row>
    <row r="393" spans="1:19" ht="27">
      <c r="A393" s="18" t="s">
        <v>14</v>
      </c>
      <c r="B393" s="18" t="s">
        <v>24</v>
      </c>
      <c r="C393" s="19" t="s">
        <v>370</v>
      </c>
      <c r="D393" s="49" t="s">
        <v>218</v>
      </c>
      <c r="E393" s="18" t="s">
        <v>46</v>
      </c>
      <c r="F393" s="20">
        <v>45995</v>
      </c>
      <c r="G393" s="21">
        <f t="shared" si="41"/>
        <v>49</v>
      </c>
      <c r="H393" s="21" t="s">
        <v>22</v>
      </c>
      <c r="I393" s="79" t="str">
        <f t="shared" si="42"/>
        <v>12-2025</v>
      </c>
      <c r="J393" s="86" t="str">
        <f>(YEAR(F393)&amp;TEXT(Table1[[#This Row],[Week]],"00"))</f>
        <v>202549</v>
      </c>
      <c r="K393" s="79" t="str">
        <f>_xlfn.TEXTJOIN("-",TRUE,Table1[[#This Row],[Client]],Table1[[#This Row],[Budget ID]],Table1[[#This Row],[Ressource
'[Initials']]])</f>
        <v>Labflex-230003-1-MS</v>
      </c>
      <c r="L393" s="19" t="s">
        <v>464</v>
      </c>
      <c r="M393" s="22"/>
      <c r="N393" s="22"/>
      <c r="O393" s="23">
        <v>2.5</v>
      </c>
      <c r="P393" s="117" cm="1">
        <f t="array" ref="P393">_xlfn.XLOOKUP(Table1[[#This Row],[UID
'[Helper']]],Table2[[#All],[UID
'[Helper']]],Table2[[#All],[Rate
DKK]],"Not found :(",0,1)</f>
        <v>900</v>
      </c>
      <c r="Q393" s="117">
        <f t="shared" si="43"/>
        <v>2250</v>
      </c>
      <c r="R393" s="118"/>
      <c r="S393" s="118"/>
    </row>
    <row r="394" spans="1:19" ht="27">
      <c r="A394" s="18" t="s">
        <v>14</v>
      </c>
      <c r="B394" s="18" t="s">
        <v>24</v>
      </c>
      <c r="C394" s="19" t="s">
        <v>273</v>
      </c>
      <c r="D394" s="49" t="s">
        <v>218</v>
      </c>
      <c r="E394" s="18" t="s">
        <v>79</v>
      </c>
      <c r="F394" s="20">
        <v>45995</v>
      </c>
      <c r="G394" s="21">
        <f t="shared" si="41"/>
        <v>49</v>
      </c>
      <c r="H394" s="21" t="s">
        <v>22</v>
      </c>
      <c r="I394" s="79" t="str">
        <f t="shared" si="42"/>
        <v>12-2025</v>
      </c>
      <c r="J394" s="86" t="str">
        <f>(YEAR(F394)&amp;TEXT(Table1[[#This Row],[Week]],"00"))</f>
        <v>202549</v>
      </c>
      <c r="K394" s="79" t="str">
        <f>_xlfn.TEXTJOIN("-",TRUE,Table1[[#This Row],[Client]],Table1[[#This Row],[Budget ID]],Table1[[#This Row],[Ressource
'[Initials']]])</f>
        <v>Labflex-230003-1-MS</v>
      </c>
      <c r="L394" s="19" t="s">
        <v>466</v>
      </c>
      <c r="M394" s="22"/>
      <c r="N394" s="22"/>
      <c r="O394" s="23">
        <v>2</v>
      </c>
      <c r="P394" s="117" cm="1">
        <f t="array" ref="P394">_xlfn.XLOOKUP(Table1[[#This Row],[UID
'[Helper']]],Table2[[#All],[UID
'[Helper']]],Table2[[#All],[Rate
DKK]],"Not found :(",0,1)</f>
        <v>900</v>
      </c>
      <c r="Q394" s="117">
        <f t="shared" si="43"/>
        <v>1800</v>
      </c>
      <c r="R394" s="118"/>
      <c r="S394" s="118"/>
    </row>
    <row r="395" spans="1:19" ht="27">
      <c r="A395" s="18" t="s">
        <v>14</v>
      </c>
      <c r="B395" s="18" t="s">
        <v>24</v>
      </c>
      <c r="C395" s="19" t="s">
        <v>277</v>
      </c>
      <c r="D395" s="49" t="s">
        <v>218</v>
      </c>
      <c r="E395" s="18" t="s">
        <v>79</v>
      </c>
      <c r="F395" s="20">
        <v>45995</v>
      </c>
      <c r="G395" s="21">
        <f t="shared" si="41"/>
        <v>49</v>
      </c>
      <c r="H395" s="21" t="s">
        <v>22</v>
      </c>
      <c r="I395" s="79" t="str">
        <f t="shared" si="42"/>
        <v>12-2025</v>
      </c>
      <c r="J395" s="86" t="str">
        <f>(YEAR(F395)&amp;TEXT(Table1[[#This Row],[Week]],"00"))</f>
        <v>202549</v>
      </c>
      <c r="K395" s="79" t="str">
        <f>_xlfn.TEXTJOIN("-",TRUE,Table1[[#This Row],[Client]],Table1[[#This Row],[Budget ID]],Table1[[#This Row],[Ressource
'[Initials']]])</f>
        <v>Labflex-230003-1-MS</v>
      </c>
      <c r="L395" s="19" t="s">
        <v>465</v>
      </c>
      <c r="M395" s="22"/>
      <c r="N395" s="22"/>
      <c r="O395" s="23">
        <v>0.5</v>
      </c>
      <c r="P395" s="117" cm="1">
        <f t="array" ref="P395">_xlfn.XLOOKUP(Table1[[#This Row],[UID
'[Helper']]],Table2[[#All],[UID
'[Helper']]],Table2[[#All],[Rate
DKK]],"Not found :(",0,1)</f>
        <v>900</v>
      </c>
      <c r="Q395" s="117">
        <f t="shared" si="43"/>
        <v>450</v>
      </c>
      <c r="R395" s="118"/>
      <c r="S395" s="118"/>
    </row>
    <row r="396" spans="1:19" ht="27">
      <c r="A396" s="18" t="s">
        <v>14</v>
      </c>
      <c r="B396" s="18" t="s">
        <v>24</v>
      </c>
      <c r="C396" s="19" t="s">
        <v>268</v>
      </c>
      <c r="D396" s="49" t="s">
        <v>218</v>
      </c>
      <c r="E396" s="18" t="s">
        <v>79</v>
      </c>
      <c r="F396" s="20">
        <v>45995</v>
      </c>
      <c r="G396" s="21">
        <f t="shared" si="41"/>
        <v>49</v>
      </c>
      <c r="H396" s="21" t="s">
        <v>22</v>
      </c>
      <c r="I396" s="79" t="str">
        <f t="shared" si="42"/>
        <v>12-2025</v>
      </c>
      <c r="J396" s="86" t="str">
        <f>(YEAR(F396)&amp;TEXT(Table1[[#This Row],[Week]],"00"))</f>
        <v>202549</v>
      </c>
      <c r="K396" s="79" t="str">
        <f>_xlfn.TEXTJOIN("-",TRUE,Table1[[#This Row],[Client]],Table1[[#This Row],[Budget ID]],Table1[[#This Row],[Ressource
'[Initials']]])</f>
        <v>Labflex-230003-1-MS</v>
      </c>
      <c r="L396" s="19" t="s">
        <v>465</v>
      </c>
      <c r="M396" s="22"/>
      <c r="N396" s="22"/>
      <c r="O396" s="23">
        <v>1</v>
      </c>
      <c r="P396" s="117" cm="1">
        <f t="array" ref="P396">_xlfn.XLOOKUP(Table1[[#This Row],[UID
'[Helper']]],Table2[[#All],[UID
'[Helper']]],Table2[[#All],[Rate
DKK]],"Not found :(",0,1)</f>
        <v>900</v>
      </c>
      <c r="Q396" s="117">
        <f t="shared" si="43"/>
        <v>900</v>
      </c>
      <c r="R396" s="118"/>
      <c r="S396" s="118"/>
    </row>
    <row r="397" spans="1:19" ht="13.5">
      <c r="A397" s="18" t="s">
        <v>92</v>
      </c>
      <c r="B397" s="18" t="s">
        <v>269</v>
      </c>
      <c r="C397" s="19" t="s">
        <v>400</v>
      </c>
      <c r="D397" s="49">
        <v>250402</v>
      </c>
      <c r="E397" s="18" t="s">
        <v>46</v>
      </c>
      <c r="F397" s="20">
        <v>45995</v>
      </c>
      <c r="G397" s="21">
        <f t="shared" si="41"/>
        <v>49</v>
      </c>
      <c r="H397" s="21" t="s">
        <v>22</v>
      </c>
      <c r="I397" s="79" t="str">
        <f t="shared" si="42"/>
        <v>12-2025</v>
      </c>
      <c r="J397" s="86" t="str">
        <f>(YEAR(F397)&amp;TEXT(Table1[[#This Row],[Week]],"00"))</f>
        <v>202549</v>
      </c>
      <c r="K397" s="79" t="str">
        <f>_xlfn.TEXTJOIN("-",TRUE,Table1[[#This Row],[Client]],Table1[[#This Row],[Budget ID]],Table1[[#This Row],[Ressource
'[Initials']]])</f>
        <v>Novo Nordisk-250402-MS</v>
      </c>
      <c r="L397" s="19" t="s">
        <v>469</v>
      </c>
      <c r="M397" s="22"/>
      <c r="N397" s="22"/>
      <c r="O397" s="23">
        <v>1.5</v>
      </c>
      <c r="P397" s="117" cm="1">
        <f t="array" ref="P397">_xlfn.XLOOKUP(Table1[[#This Row],[UID
'[Helper']]],Table2[[#All],[UID
'[Helper']]],Table2[[#All],[Rate
DKK]],"Not found :(",0,1)</f>
        <v>900</v>
      </c>
      <c r="Q397" s="117">
        <f t="shared" si="43"/>
        <v>1350</v>
      </c>
      <c r="R397" s="118"/>
      <c r="S397" s="118"/>
    </row>
    <row r="398" spans="1:19" ht="13.5">
      <c r="A398" s="18" t="s">
        <v>92</v>
      </c>
      <c r="B398" s="18" t="s">
        <v>269</v>
      </c>
      <c r="C398" s="19" t="s">
        <v>401</v>
      </c>
      <c r="D398" s="49">
        <v>250402</v>
      </c>
      <c r="E398" s="18" t="s">
        <v>46</v>
      </c>
      <c r="F398" s="20">
        <v>45995</v>
      </c>
      <c r="G398" s="21">
        <f t="shared" si="41"/>
        <v>49</v>
      </c>
      <c r="H398" s="21" t="s">
        <v>22</v>
      </c>
      <c r="I398" s="79" t="str">
        <f t="shared" si="42"/>
        <v>12-2025</v>
      </c>
      <c r="J398" s="86" t="str">
        <f>(YEAR(F398)&amp;TEXT(Table1[[#This Row],[Week]],"00"))</f>
        <v>202549</v>
      </c>
      <c r="K398" s="79" t="str">
        <f>_xlfn.TEXTJOIN("-",TRUE,Table1[[#This Row],[Client]],Table1[[#This Row],[Budget ID]],Table1[[#This Row],[Ressource
'[Initials']]])</f>
        <v>Novo Nordisk-250402-MS</v>
      </c>
      <c r="L398" s="19" t="s">
        <v>468</v>
      </c>
      <c r="M398" s="22"/>
      <c r="N398" s="22"/>
      <c r="O398" s="23">
        <v>2.5</v>
      </c>
      <c r="P398" s="117" cm="1">
        <f t="array" ref="P398">_xlfn.XLOOKUP(Table1[[#This Row],[UID
'[Helper']]],Table2[[#All],[UID
'[Helper']]],Table2[[#All],[Rate
DKK]],"Not found :(",0,1)</f>
        <v>900</v>
      </c>
      <c r="Q398" s="117">
        <f t="shared" si="43"/>
        <v>2250</v>
      </c>
      <c r="R398" s="118"/>
      <c r="S398" s="118"/>
    </row>
    <row r="399" spans="1:19" ht="13.5">
      <c r="A399" s="190" t="s">
        <v>92</v>
      </c>
      <c r="B399" s="190" t="s">
        <v>269</v>
      </c>
      <c r="C399" s="191" t="s">
        <v>400</v>
      </c>
      <c r="D399" s="49">
        <v>250402</v>
      </c>
      <c r="E399" s="190" t="s">
        <v>46</v>
      </c>
      <c r="F399" s="20">
        <v>45995</v>
      </c>
      <c r="G399" s="21">
        <f t="shared" si="41"/>
        <v>49</v>
      </c>
      <c r="H399" s="21" t="s">
        <v>20</v>
      </c>
      <c r="I399" s="79" t="str">
        <f t="shared" si="42"/>
        <v>12-2025</v>
      </c>
      <c r="J399" s="86" t="str">
        <f>(YEAR(F399)&amp;TEXT(Table1[[#This Row],[Week]],"00"))</f>
        <v>202549</v>
      </c>
      <c r="K399" s="79" t="str">
        <f>_xlfn.TEXTJOIN("-",TRUE,Table1[[#This Row],[Client]],Table1[[#This Row],[Budget ID]],Table1[[#This Row],[Ressource
'[Initials']]])</f>
        <v>Novo Nordisk-250402-DS</v>
      </c>
      <c r="L399" s="19" t="s">
        <v>458</v>
      </c>
      <c r="M399" s="22"/>
      <c r="N399" s="22"/>
      <c r="O399" s="23">
        <v>2</v>
      </c>
      <c r="P399" s="117" cm="1">
        <f t="array" ref="P399">_xlfn.XLOOKUP(Table1[[#This Row],[UID
'[Helper']]],Table2[[#All],[UID
'[Helper']]],Table2[[#All],[Rate
DKK]],"Not found :(",0,1)</f>
        <v>900</v>
      </c>
      <c r="Q399" s="117">
        <f t="shared" si="43"/>
        <v>1800</v>
      </c>
      <c r="R399" s="118"/>
      <c r="S399" s="118"/>
    </row>
    <row r="400" spans="1:19" ht="27">
      <c r="A400" s="190" t="s">
        <v>92</v>
      </c>
      <c r="B400" s="190" t="s">
        <v>269</v>
      </c>
      <c r="C400" s="191" t="s">
        <v>401</v>
      </c>
      <c r="D400" s="49">
        <v>250402</v>
      </c>
      <c r="E400" s="190" t="s">
        <v>46</v>
      </c>
      <c r="F400" s="20">
        <v>45995</v>
      </c>
      <c r="G400" s="21">
        <f t="shared" si="41"/>
        <v>49</v>
      </c>
      <c r="H400" s="21" t="s">
        <v>20</v>
      </c>
      <c r="I400" s="79" t="str">
        <f t="shared" si="42"/>
        <v>12-2025</v>
      </c>
      <c r="J400" s="86" t="str">
        <f>(YEAR(F400)&amp;TEXT(Table1[[#This Row],[Week]],"00"))</f>
        <v>202549</v>
      </c>
      <c r="K400" s="79" t="str">
        <f>_xlfn.TEXTJOIN("-",TRUE,Table1[[#This Row],[Client]],Table1[[#This Row],[Budget ID]],Table1[[#This Row],[Ressource
'[Initials']]])</f>
        <v>Novo Nordisk-250402-DS</v>
      </c>
      <c r="L400" s="19" t="s">
        <v>459</v>
      </c>
      <c r="M400" s="22"/>
      <c r="N400" s="22"/>
      <c r="O400" s="23">
        <v>8.5</v>
      </c>
      <c r="P400" s="117" cm="1">
        <f t="array" ref="P400">_xlfn.XLOOKUP(Table1[[#This Row],[UID
'[Helper']]],Table2[[#All],[UID
'[Helper']]],Table2[[#All],[Rate
DKK]],"Not found :(",0,1)</f>
        <v>900</v>
      </c>
      <c r="Q400" s="117">
        <f t="shared" si="43"/>
        <v>7650</v>
      </c>
      <c r="R400" s="118"/>
      <c r="S400" s="118"/>
    </row>
    <row r="401" spans="1:19" ht="13.5">
      <c r="A401" s="190" t="s">
        <v>368</v>
      </c>
      <c r="B401" s="190" t="s">
        <v>448</v>
      </c>
      <c r="C401" s="191" t="s">
        <v>368</v>
      </c>
      <c r="D401" s="192">
        <v>250902</v>
      </c>
      <c r="E401" s="190" t="s">
        <v>79</v>
      </c>
      <c r="F401" s="20">
        <v>45995</v>
      </c>
      <c r="G401" s="21">
        <f t="shared" si="41"/>
        <v>49</v>
      </c>
      <c r="H401" s="21" t="s">
        <v>20</v>
      </c>
      <c r="I401" s="79" t="str">
        <f t="shared" si="42"/>
        <v>12-2025</v>
      </c>
      <c r="J401" s="86" t="str">
        <f>(YEAR(F401)&amp;TEXT(Table1[[#This Row],[Week]],"00"))</f>
        <v>202549</v>
      </c>
      <c r="K401" s="79" t="str">
        <f>_xlfn.TEXTJOIN("-",TRUE,Table1[[#This Row],[Client]],Table1[[#This Row],[Budget ID]],Table1[[#This Row],[Ressource
'[Initials']]])</f>
        <v>Kyodo Projects-250902-DS</v>
      </c>
      <c r="L401" s="19" t="s">
        <v>460</v>
      </c>
      <c r="M401" s="22"/>
      <c r="N401" s="22"/>
      <c r="O401" s="23">
        <v>0.5</v>
      </c>
      <c r="P401" s="117" cm="1">
        <f t="array" ref="P401">_xlfn.XLOOKUP(Table1[[#This Row],[UID
'[Helper']]],Table2[[#All],[UID
'[Helper']]],Table2[[#All],[Rate
DKK]],"Not found :(",0,1)</f>
        <v>900</v>
      </c>
      <c r="Q401" s="117">
        <f t="shared" si="43"/>
        <v>450</v>
      </c>
      <c r="R401" s="118"/>
      <c r="S401" s="118"/>
    </row>
    <row r="402" spans="1:19" ht="13.5">
      <c r="A402" s="18" t="s">
        <v>368</v>
      </c>
      <c r="B402" s="18" t="s">
        <v>448</v>
      </c>
      <c r="C402" s="19" t="s">
        <v>368</v>
      </c>
      <c r="D402" s="49">
        <v>250902</v>
      </c>
      <c r="E402" s="18" t="s">
        <v>79</v>
      </c>
      <c r="F402" s="20">
        <v>45995</v>
      </c>
      <c r="G402" s="21">
        <f t="shared" si="41"/>
        <v>49</v>
      </c>
      <c r="H402" s="21" t="s">
        <v>22</v>
      </c>
      <c r="I402" s="79" t="str">
        <f t="shared" si="42"/>
        <v>12-2025</v>
      </c>
      <c r="J402" s="86" t="str">
        <f>(YEAR(F402)&amp;TEXT(Table1[[#This Row],[Week]],"00"))</f>
        <v>202549</v>
      </c>
      <c r="K402" s="79" t="str">
        <f>_xlfn.TEXTJOIN("-",TRUE,Table1[[#This Row],[Client]],Table1[[#This Row],[Budget ID]],Table1[[#This Row],[Ressource
'[Initials']]])</f>
        <v>Kyodo Projects-250902-MS</v>
      </c>
      <c r="L402" s="19" t="s">
        <v>462</v>
      </c>
      <c r="M402" s="22"/>
      <c r="N402" s="22"/>
      <c r="O402" s="23">
        <v>1</v>
      </c>
      <c r="P402" s="117" cm="1">
        <f t="array" ref="P402">_xlfn.XLOOKUP(Table1[[#This Row],[UID
'[Helper']]],Table2[[#All],[UID
'[Helper']]],Table2[[#All],[Rate
DKK]],"Not found :(",0,1)</f>
        <v>900</v>
      </c>
      <c r="Q402" s="117">
        <f t="shared" si="43"/>
        <v>900</v>
      </c>
      <c r="R402" s="118"/>
      <c r="S402" s="118"/>
    </row>
    <row r="403" spans="1:19" ht="13.5">
      <c r="A403" s="18" t="s">
        <v>14</v>
      </c>
      <c r="B403" s="18" t="s">
        <v>24</v>
      </c>
      <c r="C403" s="19" t="s">
        <v>72</v>
      </c>
      <c r="D403" s="49" t="s">
        <v>218</v>
      </c>
      <c r="E403" s="18" t="s">
        <v>73</v>
      </c>
      <c r="F403" s="20">
        <v>45995</v>
      </c>
      <c r="G403" s="21">
        <f t="shared" si="41"/>
        <v>49</v>
      </c>
      <c r="H403" s="21" t="s">
        <v>22</v>
      </c>
      <c r="I403" s="79" t="str">
        <f t="shared" si="42"/>
        <v>12-2025</v>
      </c>
      <c r="J403" s="86" t="str">
        <f>(YEAR(F403)&amp;TEXT(Table1[[#This Row],[Week]],"00"))</f>
        <v>202549</v>
      </c>
      <c r="K403" s="79" t="str">
        <f>_xlfn.TEXTJOIN("-",TRUE,Table1[[#This Row],[Client]],Table1[[#This Row],[Budget ID]],Table1[[#This Row],[Ressource
'[Initials']]])</f>
        <v>Labflex-230003-1-MS</v>
      </c>
      <c r="L403" s="19" t="s">
        <v>470</v>
      </c>
      <c r="M403" s="22"/>
      <c r="N403" s="22"/>
      <c r="O403" s="23">
        <v>0.5</v>
      </c>
      <c r="P403" s="117" cm="1">
        <f t="array" ref="P403">_xlfn.XLOOKUP(Table1[[#This Row],[UID
'[Helper']]],Table2[[#All],[UID
'[Helper']]],Table2[[#All],[Rate
DKK]],"Not found :(",0,1)</f>
        <v>900</v>
      </c>
      <c r="Q403" s="117">
        <f t="shared" si="43"/>
        <v>450</v>
      </c>
      <c r="R403" s="118"/>
      <c r="S403" s="118"/>
    </row>
    <row r="404" spans="1:19" ht="13.5">
      <c r="A404" s="18" t="s">
        <v>14</v>
      </c>
      <c r="B404" s="18" t="s">
        <v>24</v>
      </c>
      <c r="C404" s="19" t="s">
        <v>71</v>
      </c>
      <c r="D404" s="49" t="s">
        <v>218</v>
      </c>
      <c r="E404" s="18" t="s">
        <v>73</v>
      </c>
      <c r="F404" s="20">
        <v>45995</v>
      </c>
      <c r="G404" s="21">
        <f t="shared" si="41"/>
        <v>49</v>
      </c>
      <c r="H404" s="21" t="s">
        <v>22</v>
      </c>
      <c r="I404" s="79" t="str">
        <f t="shared" si="42"/>
        <v>12-2025</v>
      </c>
      <c r="J404" s="86" t="str">
        <f>(YEAR(F404)&amp;TEXT(Table1[[#This Row],[Week]],"00"))</f>
        <v>202549</v>
      </c>
      <c r="K404" s="79" t="str">
        <f>_xlfn.TEXTJOIN("-",TRUE,Table1[[#This Row],[Client]],Table1[[#This Row],[Budget ID]],Table1[[#This Row],[Ressource
'[Initials']]])</f>
        <v>Labflex-230003-1-MS</v>
      </c>
      <c r="L404" s="19" t="s">
        <v>470</v>
      </c>
      <c r="M404" s="22"/>
      <c r="N404" s="22"/>
      <c r="O404" s="23">
        <v>0.5</v>
      </c>
      <c r="P404" s="117" cm="1">
        <f t="array" ref="P404">_xlfn.XLOOKUP(Table1[[#This Row],[UID
'[Helper']]],Table2[[#All],[UID
'[Helper']]],Table2[[#All],[Rate
DKK]],"Not found :(",0,1)</f>
        <v>900</v>
      </c>
      <c r="Q404" s="117">
        <f t="shared" si="43"/>
        <v>450</v>
      </c>
      <c r="R404" s="118"/>
      <c r="S404" s="118"/>
    </row>
    <row r="405" spans="1:19" ht="13.5">
      <c r="A405" s="182" t="s">
        <v>107</v>
      </c>
      <c r="B405" s="182" t="s">
        <v>154</v>
      </c>
      <c r="C405" s="183"/>
      <c r="D405" s="49">
        <v>240021</v>
      </c>
      <c r="E405" s="182" t="s">
        <v>37</v>
      </c>
      <c r="F405" s="184">
        <v>45995</v>
      </c>
      <c r="G405" s="185">
        <f t="shared" si="41"/>
        <v>49</v>
      </c>
      <c r="H405" s="185" t="s">
        <v>54</v>
      </c>
      <c r="I405" s="79" t="str">
        <f t="shared" si="42"/>
        <v>12-2025</v>
      </c>
      <c r="J405" s="86" t="str">
        <f>(YEAR(F405)&amp;TEXT(Table1[[#This Row],[Week]],"00"))</f>
        <v>202549</v>
      </c>
      <c r="K405" s="79" t="str">
        <f>_xlfn.TEXTJOIN("-",TRUE,Table1[[#This Row],[Client]],Table1[[#This Row],[Budget ID]],Table1[[#This Row],[Ressource
'[Initials']]])</f>
        <v>Zystm-240021-ML</v>
      </c>
      <c r="L405" s="19" t="s">
        <v>495</v>
      </c>
      <c r="M405" s="22"/>
      <c r="N405" s="22"/>
      <c r="O405" s="23">
        <v>2.5</v>
      </c>
      <c r="P405" s="117" cm="1">
        <f t="array" ref="P405">_xlfn.XLOOKUP(Table1[[#This Row],[UID
'[Helper']]],Table2[[#All],[UID
'[Helper']]],Table2[[#All],[Rate
DKK]],"Not found :(",0,1)</f>
        <v>850</v>
      </c>
      <c r="Q405" s="117">
        <f t="shared" si="43"/>
        <v>2125</v>
      </c>
      <c r="R405" s="118"/>
      <c r="S405" s="118"/>
    </row>
    <row r="406" spans="1:19" ht="13.5">
      <c r="A406" s="187" t="s">
        <v>92</v>
      </c>
      <c r="B406" s="187" t="s">
        <v>269</v>
      </c>
      <c r="C406" s="183" t="s">
        <v>401</v>
      </c>
      <c r="D406" s="71">
        <v>250402</v>
      </c>
      <c r="E406" s="182" t="s">
        <v>46</v>
      </c>
      <c r="F406" s="184">
        <v>45995</v>
      </c>
      <c r="G406" s="21">
        <f t="shared" si="41"/>
        <v>49</v>
      </c>
      <c r="H406" s="21" t="s">
        <v>54</v>
      </c>
      <c r="I406" s="79" t="str">
        <f t="shared" si="42"/>
        <v>12-2025</v>
      </c>
      <c r="J406" s="86" t="str">
        <f>(YEAR(F406)&amp;TEXT(Table1[[#This Row],[Week]],"00"))</f>
        <v>202549</v>
      </c>
      <c r="K406" s="79" t="str">
        <f>_xlfn.TEXTJOIN("-",TRUE,Table1[[#This Row],[Client]],Table1[[#This Row],[Budget ID]],Table1[[#This Row],[Ressource
'[Initials']]])</f>
        <v>Novo Nordisk-250402-ML</v>
      </c>
      <c r="L406" s="19" t="s">
        <v>496</v>
      </c>
      <c r="M406" s="22"/>
      <c r="N406" s="22"/>
      <c r="O406" s="23">
        <v>8</v>
      </c>
      <c r="P406" s="117" cm="1">
        <f t="array" ref="P406">_xlfn.XLOOKUP(Table1[[#This Row],[UID
'[Helper']]],Table2[[#All],[UID
'[Helper']]],Table2[[#All],[Rate
DKK]],"Not found :(",0,1)</f>
        <v>900</v>
      </c>
      <c r="Q406" s="117">
        <f t="shared" si="43"/>
        <v>7200</v>
      </c>
      <c r="R406" s="118"/>
      <c r="S406" s="118"/>
    </row>
    <row r="407" spans="1:19" ht="27">
      <c r="A407" s="190" t="s">
        <v>92</v>
      </c>
      <c r="B407" s="190" t="s">
        <v>269</v>
      </c>
      <c r="C407" s="191" t="s">
        <v>400</v>
      </c>
      <c r="D407" s="49">
        <v>250402</v>
      </c>
      <c r="E407" s="190" t="s">
        <v>46</v>
      </c>
      <c r="F407" s="20">
        <v>45996</v>
      </c>
      <c r="G407" s="21">
        <f t="shared" si="41"/>
        <v>49</v>
      </c>
      <c r="H407" s="21" t="s">
        <v>20</v>
      </c>
      <c r="I407" s="79" t="str">
        <f t="shared" si="42"/>
        <v>12-2025</v>
      </c>
      <c r="J407" s="86" t="str">
        <f>(YEAR(F407)&amp;TEXT(Table1[[#This Row],[Week]],"00"))</f>
        <v>202549</v>
      </c>
      <c r="K407" s="79" t="str">
        <f>_xlfn.TEXTJOIN("-",TRUE,Table1[[#This Row],[Client]],Table1[[#This Row],[Budget ID]],Table1[[#This Row],[Ressource
'[Initials']]])</f>
        <v>Novo Nordisk-250402-DS</v>
      </c>
      <c r="L407" s="19" t="s">
        <v>471</v>
      </c>
      <c r="M407" s="22"/>
      <c r="N407" s="22"/>
      <c r="O407" s="23">
        <v>6</v>
      </c>
      <c r="P407" s="117" cm="1">
        <f t="array" ref="P407">_xlfn.XLOOKUP(Table1[[#This Row],[UID
'[Helper']]],Table2[[#All],[UID
'[Helper']]],Table2[[#All],[Rate
DKK]],"Not found :(",0,1)</f>
        <v>900</v>
      </c>
      <c r="Q407" s="117">
        <f t="shared" si="43"/>
        <v>5400</v>
      </c>
      <c r="R407" s="118"/>
      <c r="S407" s="118"/>
    </row>
    <row r="408" spans="1:19" ht="13.5">
      <c r="A408" s="190" t="s">
        <v>92</v>
      </c>
      <c r="B408" s="190" t="s">
        <v>269</v>
      </c>
      <c r="C408" s="191" t="s">
        <v>401</v>
      </c>
      <c r="D408" s="49">
        <v>250402</v>
      </c>
      <c r="E408" s="190" t="s">
        <v>46</v>
      </c>
      <c r="F408" s="20">
        <v>45996</v>
      </c>
      <c r="G408" s="21">
        <f t="shared" si="41"/>
        <v>49</v>
      </c>
      <c r="H408" s="21" t="s">
        <v>20</v>
      </c>
      <c r="I408" s="79" t="str">
        <f t="shared" si="42"/>
        <v>12-2025</v>
      </c>
      <c r="J408" s="86" t="str">
        <f>(YEAR(F408)&amp;TEXT(Table1[[#This Row],[Week]],"00"))</f>
        <v>202549</v>
      </c>
      <c r="K408" s="79" t="str">
        <f>_xlfn.TEXTJOIN("-",TRUE,Table1[[#This Row],[Client]],Table1[[#This Row],[Budget ID]],Table1[[#This Row],[Ressource
'[Initials']]])</f>
        <v>Novo Nordisk-250402-DS</v>
      </c>
      <c r="L408" s="19" t="s">
        <v>472</v>
      </c>
      <c r="M408" s="22"/>
      <c r="N408" s="22"/>
      <c r="O408" s="23">
        <v>4.5</v>
      </c>
      <c r="P408" s="117" cm="1">
        <f t="array" ref="P408">_xlfn.XLOOKUP(Table1[[#This Row],[UID
'[Helper']]],Table2[[#All],[UID
'[Helper']]],Table2[[#All],[Rate
DKK]],"Not found :(",0,1)</f>
        <v>900</v>
      </c>
      <c r="Q408" s="117">
        <f t="shared" si="43"/>
        <v>4050</v>
      </c>
      <c r="R408" s="118"/>
      <c r="S408" s="118"/>
    </row>
    <row r="409" spans="1:19" ht="27">
      <c r="A409" s="18" t="s">
        <v>92</v>
      </c>
      <c r="B409" s="18" t="s">
        <v>269</v>
      </c>
      <c r="C409" s="19" t="s">
        <v>400</v>
      </c>
      <c r="D409" s="49">
        <v>250402</v>
      </c>
      <c r="E409" s="18" t="s">
        <v>46</v>
      </c>
      <c r="F409" s="20">
        <v>45996</v>
      </c>
      <c r="G409" s="21">
        <f t="shared" si="41"/>
        <v>49</v>
      </c>
      <c r="H409" s="21" t="s">
        <v>22</v>
      </c>
      <c r="I409" s="79" t="str">
        <f t="shared" si="42"/>
        <v>12-2025</v>
      </c>
      <c r="J409" s="86" t="str">
        <f>(YEAR(F409)&amp;TEXT(Table1[[#This Row],[Week]],"00"))</f>
        <v>202549</v>
      </c>
      <c r="K409" s="79" t="str">
        <f>_xlfn.TEXTJOIN("-",TRUE,Table1[[#This Row],[Client]],Table1[[#This Row],[Budget ID]],Table1[[#This Row],[Ressource
'[Initials']]])</f>
        <v>Novo Nordisk-250402-MS</v>
      </c>
      <c r="L409" s="19" t="s">
        <v>471</v>
      </c>
      <c r="M409" s="22"/>
      <c r="N409" s="22"/>
      <c r="O409" s="23">
        <v>5</v>
      </c>
      <c r="P409" s="117" cm="1">
        <f t="array" ref="P409">_xlfn.XLOOKUP(Table1[[#This Row],[UID
'[Helper']]],Table2[[#All],[UID
'[Helper']]],Table2[[#All],[Rate
DKK]],"Not found :(",0,1)</f>
        <v>900</v>
      </c>
      <c r="Q409" s="117">
        <f t="shared" si="43"/>
        <v>4500</v>
      </c>
      <c r="R409" s="118"/>
      <c r="S409" s="118"/>
    </row>
    <row r="410" spans="1:19" ht="13.5">
      <c r="A410" s="18" t="s">
        <v>92</v>
      </c>
      <c r="B410" s="18" t="s">
        <v>269</v>
      </c>
      <c r="C410" s="19" t="s">
        <v>401</v>
      </c>
      <c r="D410" s="49">
        <v>250402</v>
      </c>
      <c r="E410" s="18" t="s">
        <v>46</v>
      </c>
      <c r="F410" s="20">
        <v>45996</v>
      </c>
      <c r="G410" s="21">
        <f t="shared" si="41"/>
        <v>49</v>
      </c>
      <c r="H410" s="21" t="s">
        <v>22</v>
      </c>
      <c r="I410" s="79" t="str">
        <f t="shared" ref="I410:I426" si="44">(MONTH(F410)&amp;"-"&amp;YEAR(F410))</f>
        <v>12-2025</v>
      </c>
      <c r="J410" s="86" t="str">
        <f>(YEAR(F410)&amp;TEXT(Table1[[#This Row],[Week]],"00"))</f>
        <v>202549</v>
      </c>
      <c r="K410" s="79" t="str">
        <f>_xlfn.TEXTJOIN("-",TRUE,Table1[[#This Row],[Client]],Table1[[#This Row],[Budget ID]],Table1[[#This Row],[Ressource
'[Initials']]])</f>
        <v>Novo Nordisk-250402-MS</v>
      </c>
      <c r="L410" s="19" t="s">
        <v>472</v>
      </c>
      <c r="M410" s="22"/>
      <c r="N410" s="22"/>
      <c r="O410" s="23">
        <v>1.5</v>
      </c>
      <c r="P410" s="117" cm="1">
        <f t="array" ref="P410">_xlfn.XLOOKUP(Table1[[#This Row],[UID
'[Helper']]],Table2[[#All],[UID
'[Helper']]],Table2[[#All],[Rate
DKK]],"Not found :(",0,1)</f>
        <v>900</v>
      </c>
      <c r="Q410" s="117">
        <f t="shared" ref="Q410:Q426" si="45">IFERROR(O410*P410,0)</f>
        <v>1350</v>
      </c>
      <c r="R410" s="118"/>
      <c r="S410" s="118"/>
    </row>
    <row r="411" spans="1:19" ht="13.5">
      <c r="A411" s="18" t="s">
        <v>14</v>
      </c>
      <c r="B411" s="18" t="s">
        <v>24</v>
      </c>
      <c r="C411" s="19" t="s">
        <v>72</v>
      </c>
      <c r="D411" s="49" t="s">
        <v>218</v>
      </c>
      <c r="E411" s="18" t="s">
        <v>37</v>
      </c>
      <c r="F411" s="20">
        <v>45996</v>
      </c>
      <c r="G411" s="21">
        <f t="shared" si="41"/>
        <v>49</v>
      </c>
      <c r="H411" s="21" t="s">
        <v>22</v>
      </c>
      <c r="I411" s="79" t="str">
        <f t="shared" si="44"/>
        <v>12-2025</v>
      </c>
      <c r="J411" s="86" t="str">
        <f>(YEAR(F411)&amp;TEXT(Table1[[#This Row],[Week]],"00"))</f>
        <v>202549</v>
      </c>
      <c r="K411" s="79" t="str">
        <f>_xlfn.TEXTJOIN("-",TRUE,Table1[[#This Row],[Client]],Table1[[#This Row],[Budget ID]],Table1[[#This Row],[Ressource
'[Initials']]])</f>
        <v>Labflex-230003-1-MS</v>
      </c>
      <c r="L411" s="19" t="s">
        <v>477</v>
      </c>
      <c r="M411" s="22"/>
      <c r="N411" s="22"/>
      <c r="O411" s="23">
        <v>1</v>
      </c>
      <c r="P411" s="117" cm="1">
        <f t="array" ref="P411">_xlfn.XLOOKUP(Table1[[#This Row],[UID
'[Helper']]],Table2[[#All],[UID
'[Helper']]],Table2[[#All],[Rate
DKK]],"Not found :(",0,1)</f>
        <v>900</v>
      </c>
      <c r="Q411" s="117">
        <f t="shared" si="45"/>
        <v>900</v>
      </c>
      <c r="R411" s="118"/>
      <c r="S411" s="118"/>
    </row>
    <row r="412" spans="1:19" ht="13.5">
      <c r="A412" s="18" t="s">
        <v>14</v>
      </c>
      <c r="B412" s="18" t="s">
        <v>24</v>
      </c>
      <c r="C412" s="19" t="s">
        <v>71</v>
      </c>
      <c r="D412" s="49" t="s">
        <v>218</v>
      </c>
      <c r="E412" s="18" t="s">
        <v>37</v>
      </c>
      <c r="F412" s="20">
        <v>45996</v>
      </c>
      <c r="G412" s="21">
        <f t="shared" si="41"/>
        <v>49</v>
      </c>
      <c r="H412" s="21" t="s">
        <v>22</v>
      </c>
      <c r="I412" s="79" t="str">
        <f t="shared" si="44"/>
        <v>12-2025</v>
      </c>
      <c r="J412" s="86" t="str">
        <f>(YEAR(F412)&amp;TEXT(Table1[[#This Row],[Week]],"00"))</f>
        <v>202549</v>
      </c>
      <c r="K412" s="79" t="str">
        <f>_xlfn.TEXTJOIN("-",TRUE,Table1[[#This Row],[Client]],Table1[[#This Row],[Budget ID]],Table1[[#This Row],[Ressource
'[Initials']]])</f>
        <v>Labflex-230003-1-MS</v>
      </c>
      <c r="L412" s="19" t="s">
        <v>477</v>
      </c>
      <c r="M412" s="22"/>
      <c r="N412" s="22"/>
      <c r="O412" s="23">
        <v>0.5</v>
      </c>
      <c r="P412" s="117" cm="1">
        <f t="array" ref="P412">_xlfn.XLOOKUP(Table1[[#This Row],[UID
'[Helper']]],Table2[[#All],[UID
'[Helper']]],Table2[[#All],[Rate
DKK]],"Not found :(",0,1)</f>
        <v>900</v>
      </c>
      <c r="Q412" s="117">
        <f t="shared" si="45"/>
        <v>450</v>
      </c>
      <c r="R412" s="118"/>
      <c r="S412" s="118"/>
    </row>
    <row r="413" spans="1:19" ht="13.5">
      <c r="A413" s="18" t="s">
        <v>14</v>
      </c>
      <c r="B413" s="18" t="s">
        <v>24</v>
      </c>
      <c r="C413" s="19" t="s">
        <v>371</v>
      </c>
      <c r="D413" s="49" t="s">
        <v>218</v>
      </c>
      <c r="E413" s="18" t="s">
        <v>46</v>
      </c>
      <c r="F413" s="20">
        <v>45996</v>
      </c>
      <c r="G413" s="21">
        <f t="shared" si="41"/>
        <v>49</v>
      </c>
      <c r="H413" s="21" t="s">
        <v>22</v>
      </c>
      <c r="I413" s="79" t="str">
        <f t="shared" si="44"/>
        <v>12-2025</v>
      </c>
      <c r="J413" s="86" t="str">
        <f>(YEAR(F413)&amp;TEXT(Table1[[#This Row],[Week]],"00"))</f>
        <v>202549</v>
      </c>
      <c r="K413" s="79" t="str">
        <f>_xlfn.TEXTJOIN("-",TRUE,Table1[[#This Row],[Client]],Table1[[#This Row],[Budget ID]],Table1[[#This Row],[Ressource
'[Initials']]])</f>
        <v>Labflex-230003-1-MS</v>
      </c>
      <c r="L413" s="19" t="s">
        <v>477</v>
      </c>
      <c r="M413" s="22"/>
      <c r="N413" s="22"/>
      <c r="O413" s="23">
        <v>0.5</v>
      </c>
      <c r="P413" s="117" cm="1">
        <f t="array" ref="P413">_xlfn.XLOOKUP(Table1[[#This Row],[UID
'[Helper']]],Table2[[#All],[UID
'[Helper']]],Table2[[#All],[Rate
DKK]],"Not found :(",0,1)</f>
        <v>900</v>
      </c>
      <c r="Q413" s="117">
        <f t="shared" si="45"/>
        <v>450</v>
      </c>
      <c r="R413" s="118"/>
      <c r="S413" s="118"/>
    </row>
    <row r="414" spans="1:19" ht="27">
      <c r="A414" s="18" t="s">
        <v>14</v>
      </c>
      <c r="B414" s="18" t="s">
        <v>24</v>
      </c>
      <c r="C414" s="19" t="s">
        <v>370</v>
      </c>
      <c r="D414" s="49" t="s">
        <v>218</v>
      </c>
      <c r="E414" s="18" t="s">
        <v>46</v>
      </c>
      <c r="F414" s="20">
        <v>45996</v>
      </c>
      <c r="G414" s="21">
        <f t="shared" si="41"/>
        <v>49</v>
      </c>
      <c r="H414" s="21" t="s">
        <v>22</v>
      </c>
      <c r="I414" s="79" t="str">
        <f t="shared" si="44"/>
        <v>12-2025</v>
      </c>
      <c r="J414" s="86" t="str">
        <f>(YEAR(F414)&amp;TEXT(Table1[[#This Row],[Week]],"00"))</f>
        <v>202549</v>
      </c>
      <c r="K414" s="79" t="str">
        <f>_xlfn.TEXTJOIN("-",TRUE,Table1[[#This Row],[Client]],Table1[[#This Row],[Budget ID]],Table1[[#This Row],[Ressource
'[Initials']]])</f>
        <v>Labflex-230003-1-MS</v>
      </c>
      <c r="L414" s="19" t="s">
        <v>476</v>
      </c>
      <c r="M414" s="22"/>
      <c r="N414" s="22"/>
      <c r="O414" s="23">
        <v>1</v>
      </c>
      <c r="P414" s="117" cm="1">
        <f t="array" ref="P414">_xlfn.XLOOKUP(Table1[[#This Row],[UID
'[Helper']]],Table2[[#All],[UID
'[Helper']]],Table2[[#All],[Rate
DKK]],"Not found :(",0,1)</f>
        <v>900</v>
      </c>
      <c r="Q414" s="117">
        <f t="shared" si="45"/>
        <v>900</v>
      </c>
      <c r="R414" s="118"/>
      <c r="S414" s="118"/>
    </row>
    <row r="415" spans="1:19" ht="13.5">
      <c r="A415" s="18" t="s">
        <v>14</v>
      </c>
      <c r="B415" s="18" t="s">
        <v>24</v>
      </c>
      <c r="C415" s="19" t="s">
        <v>273</v>
      </c>
      <c r="D415" s="49" t="s">
        <v>218</v>
      </c>
      <c r="E415" s="18" t="s">
        <v>79</v>
      </c>
      <c r="F415" s="20">
        <v>45996</v>
      </c>
      <c r="G415" s="21">
        <f t="shared" si="41"/>
        <v>49</v>
      </c>
      <c r="H415" s="21" t="s">
        <v>22</v>
      </c>
      <c r="I415" s="79" t="str">
        <f t="shared" si="44"/>
        <v>12-2025</v>
      </c>
      <c r="J415" s="86" t="str">
        <f>(YEAR(F415)&amp;TEXT(Table1[[#This Row],[Week]],"00"))</f>
        <v>202549</v>
      </c>
      <c r="K415" s="79" t="str">
        <f>_xlfn.TEXTJOIN("-",TRUE,Table1[[#This Row],[Client]],Table1[[#This Row],[Budget ID]],Table1[[#This Row],[Ressource
'[Initials']]])</f>
        <v>Labflex-230003-1-MS</v>
      </c>
      <c r="L415" s="19" t="s">
        <v>478</v>
      </c>
      <c r="M415" s="22"/>
      <c r="N415" s="22"/>
      <c r="O415" s="23">
        <v>0.5</v>
      </c>
      <c r="P415" s="117" cm="1">
        <f t="array" ref="P415">_xlfn.XLOOKUP(Table1[[#This Row],[UID
'[Helper']]],Table2[[#All],[UID
'[Helper']]],Table2[[#All],[Rate
DKK]],"Not found :(",0,1)</f>
        <v>900</v>
      </c>
      <c r="Q415" s="117">
        <f t="shared" si="45"/>
        <v>450</v>
      </c>
      <c r="R415" s="118"/>
      <c r="S415" s="118"/>
    </row>
    <row r="416" spans="1:19" ht="13.5">
      <c r="A416" s="18" t="s">
        <v>14</v>
      </c>
      <c r="B416" s="18" t="s">
        <v>24</v>
      </c>
      <c r="C416" s="19" t="s">
        <v>277</v>
      </c>
      <c r="D416" s="49" t="s">
        <v>218</v>
      </c>
      <c r="E416" s="18" t="s">
        <v>79</v>
      </c>
      <c r="F416" s="20">
        <v>45996</v>
      </c>
      <c r="G416" s="21">
        <f t="shared" si="41"/>
        <v>49</v>
      </c>
      <c r="H416" s="21" t="s">
        <v>22</v>
      </c>
      <c r="I416" s="79" t="str">
        <f t="shared" si="44"/>
        <v>12-2025</v>
      </c>
      <c r="J416" s="86" t="str">
        <f>(YEAR(F416)&amp;TEXT(Table1[[#This Row],[Week]],"00"))</f>
        <v>202549</v>
      </c>
      <c r="K416" s="79" t="str">
        <f>_xlfn.TEXTJOIN("-",TRUE,Table1[[#This Row],[Client]],Table1[[#This Row],[Budget ID]],Table1[[#This Row],[Ressource
'[Initials']]])</f>
        <v>Labflex-230003-1-MS</v>
      </c>
      <c r="L416" s="19" t="s">
        <v>478</v>
      </c>
      <c r="M416" s="22"/>
      <c r="N416" s="22"/>
      <c r="O416" s="23">
        <v>1</v>
      </c>
      <c r="P416" s="117" cm="1">
        <f t="array" ref="P416">_xlfn.XLOOKUP(Table1[[#This Row],[UID
'[Helper']]],Table2[[#All],[UID
'[Helper']]],Table2[[#All],[Rate
DKK]],"Not found :(",0,1)</f>
        <v>900</v>
      </c>
      <c r="Q416" s="117">
        <f t="shared" si="45"/>
        <v>900</v>
      </c>
      <c r="R416" s="118"/>
      <c r="S416" s="118"/>
    </row>
    <row r="417" spans="1:19" ht="13.5">
      <c r="A417" s="43" t="s">
        <v>14</v>
      </c>
      <c r="B417" s="43" t="s">
        <v>24</v>
      </c>
      <c r="C417" s="19" t="s">
        <v>268</v>
      </c>
      <c r="D417" s="71" t="s">
        <v>218</v>
      </c>
      <c r="E417" s="18" t="s">
        <v>79</v>
      </c>
      <c r="F417" s="20">
        <v>45996</v>
      </c>
      <c r="G417" s="21">
        <f t="shared" si="41"/>
        <v>49</v>
      </c>
      <c r="H417" s="21" t="s">
        <v>22</v>
      </c>
      <c r="I417" s="79" t="str">
        <f t="shared" si="44"/>
        <v>12-2025</v>
      </c>
      <c r="J417" s="86" t="str">
        <f>(YEAR(F417)&amp;TEXT(Table1[[#This Row],[Week]],"00"))</f>
        <v>202549</v>
      </c>
      <c r="K417" s="79" t="str">
        <f>_xlfn.TEXTJOIN("-",TRUE,Table1[[#This Row],[Client]],Table1[[#This Row],[Budget ID]],Table1[[#This Row],[Ressource
'[Initials']]])</f>
        <v>Labflex-230003-1-MS</v>
      </c>
      <c r="L417" s="19" t="s">
        <v>478</v>
      </c>
      <c r="M417" s="22"/>
      <c r="N417" s="22"/>
      <c r="O417" s="23">
        <v>0.5</v>
      </c>
      <c r="P417" s="117" cm="1">
        <f t="array" ref="P417">_xlfn.XLOOKUP(Table1[[#This Row],[UID
'[Helper']]],Table2[[#All],[UID
'[Helper']]],Table2[[#All],[Rate
DKK]],"Not found :(",0,1)</f>
        <v>900</v>
      </c>
      <c r="Q417" s="117">
        <f t="shared" si="45"/>
        <v>450</v>
      </c>
      <c r="R417" s="118"/>
      <c r="S417" s="118"/>
    </row>
    <row r="418" spans="1:19" ht="27">
      <c r="A418" s="187" t="s">
        <v>107</v>
      </c>
      <c r="B418" s="182" t="s">
        <v>154</v>
      </c>
      <c r="C418" s="183"/>
      <c r="D418" s="49">
        <v>240021</v>
      </c>
      <c r="E418" s="182" t="s">
        <v>37</v>
      </c>
      <c r="F418" s="184">
        <v>45996</v>
      </c>
      <c r="G418" s="185">
        <f t="shared" si="41"/>
        <v>49</v>
      </c>
      <c r="H418" s="185" t="s">
        <v>54</v>
      </c>
      <c r="I418" s="79" t="str">
        <f t="shared" si="44"/>
        <v>12-2025</v>
      </c>
      <c r="J418" s="86" t="str">
        <f>(YEAR(F418)&amp;TEXT(Table1[[#This Row],[Week]],"00"))</f>
        <v>202549</v>
      </c>
      <c r="K418" s="79" t="str">
        <f>_xlfn.TEXTJOIN("-",TRUE,Table1[[#This Row],[Client]],Table1[[#This Row],[Budget ID]],Table1[[#This Row],[Ressource
'[Initials']]])</f>
        <v>Zystm-240021-ML</v>
      </c>
      <c r="L418" s="19" t="s">
        <v>497</v>
      </c>
      <c r="M418" s="22"/>
      <c r="N418" s="22"/>
      <c r="O418" s="23">
        <v>4</v>
      </c>
      <c r="P418" s="117" cm="1">
        <f t="array" ref="P418">_xlfn.XLOOKUP(Table1[[#This Row],[UID
'[Helper']]],Table2[[#All],[UID
'[Helper']]],Table2[[#All],[Rate
DKK]],"Not found :(",0,1)</f>
        <v>850</v>
      </c>
      <c r="Q418" s="117">
        <f t="shared" si="45"/>
        <v>3400</v>
      </c>
      <c r="R418" s="118"/>
      <c r="S418" s="118"/>
    </row>
    <row r="419" spans="1:19" ht="13.5">
      <c r="A419" s="182" t="s">
        <v>107</v>
      </c>
      <c r="B419" s="182" t="s">
        <v>153</v>
      </c>
      <c r="C419" s="183"/>
      <c r="D419" s="49">
        <v>240021</v>
      </c>
      <c r="E419" s="182" t="s">
        <v>37</v>
      </c>
      <c r="F419" s="184">
        <v>45996</v>
      </c>
      <c r="G419" s="185">
        <f t="shared" si="41"/>
        <v>49</v>
      </c>
      <c r="H419" s="185" t="s">
        <v>54</v>
      </c>
      <c r="I419" s="79" t="str">
        <f t="shared" si="44"/>
        <v>12-2025</v>
      </c>
      <c r="J419" s="86" t="str">
        <f>(YEAR(F419)&amp;TEXT(Table1[[#This Row],[Week]],"00"))</f>
        <v>202549</v>
      </c>
      <c r="K419" s="79" t="str">
        <f>_xlfn.TEXTJOIN("-",TRUE,Table1[[#This Row],[Client]],Table1[[#This Row],[Budget ID]],Table1[[#This Row],[Ressource
'[Initials']]])</f>
        <v>Zystm-240021-ML</v>
      </c>
      <c r="L419" s="19" t="s">
        <v>498</v>
      </c>
      <c r="M419" s="22"/>
      <c r="N419" s="22"/>
      <c r="O419" s="23">
        <v>0.5</v>
      </c>
      <c r="P419" s="117" cm="1">
        <f t="array" ref="P419">_xlfn.XLOOKUP(Table1[[#This Row],[UID
'[Helper']]],Table2[[#All],[UID
'[Helper']]],Table2[[#All],[Rate
DKK]],"Not found :(",0,1)</f>
        <v>850</v>
      </c>
      <c r="Q419" s="117">
        <f t="shared" si="45"/>
        <v>425</v>
      </c>
      <c r="R419" s="118"/>
      <c r="S419" s="118"/>
    </row>
    <row r="420" spans="1:19" ht="13.5">
      <c r="A420" s="43" t="s">
        <v>92</v>
      </c>
      <c r="B420" s="43" t="s">
        <v>269</v>
      </c>
      <c r="C420" s="19" t="s">
        <v>401</v>
      </c>
      <c r="D420" s="71">
        <v>250402</v>
      </c>
      <c r="E420" s="18" t="s">
        <v>46</v>
      </c>
      <c r="F420" s="20">
        <v>45999</v>
      </c>
      <c r="G420" s="21">
        <f t="shared" si="41"/>
        <v>50</v>
      </c>
      <c r="H420" s="21" t="s">
        <v>22</v>
      </c>
      <c r="I420" s="79" t="str">
        <f t="shared" si="44"/>
        <v>12-2025</v>
      </c>
      <c r="J420" s="86" t="str">
        <f>(YEAR(F420)&amp;TEXT(Table1[[#This Row],[Week]],"00"))</f>
        <v>202550</v>
      </c>
      <c r="K420" s="79" t="str">
        <f>_xlfn.TEXTJOIN("-",TRUE,Table1[[#This Row],[Client]],Table1[[#This Row],[Budget ID]],Table1[[#This Row],[Ressource
'[Initials']]])</f>
        <v>Novo Nordisk-250402-MS</v>
      </c>
      <c r="L420" s="19" t="s">
        <v>473</v>
      </c>
      <c r="M420" s="22"/>
      <c r="N420" s="22"/>
      <c r="O420" s="23">
        <v>1.5</v>
      </c>
      <c r="P420" s="117" cm="1">
        <f t="array" ref="P420">_xlfn.XLOOKUP(Table1[[#This Row],[UID
'[Helper']]],Table2[[#All],[UID
'[Helper']]],Table2[[#All],[Rate
DKK]],"Not found :(",0,1)</f>
        <v>900</v>
      </c>
      <c r="Q420" s="117">
        <f t="shared" si="45"/>
        <v>1350</v>
      </c>
      <c r="R420" s="118"/>
      <c r="S420" s="118"/>
    </row>
    <row r="421" spans="1:19" ht="13.5">
      <c r="A421" s="18" t="s">
        <v>14</v>
      </c>
      <c r="B421" s="18" t="s">
        <v>24</v>
      </c>
      <c r="C421" s="19" t="s">
        <v>72</v>
      </c>
      <c r="D421" s="49" t="s">
        <v>218</v>
      </c>
      <c r="E421" s="18" t="s">
        <v>37</v>
      </c>
      <c r="F421" s="20">
        <v>45999</v>
      </c>
      <c r="G421" s="21">
        <f t="shared" si="41"/>
        <v>50</v>
      </c>
      <c r="H421" s="21" t="s">
        <v>22</v>
      </c>
      <c r="I421" s="79" t="str">
        <f t="shared" si="44"/>
        <v>12-2025</v>
      </c>
      <c r="J421" s="86" t="str">
        <f>(YEAR(F421)&amp;TEXT(Table1[[#This Row],[Week]],"00"))</f>
        <v>202550</v>
      </c>
      <c r="K421" s="79" t="str">
        <f>_xlfn.TEXTJOIN("-",TRUE,Table1[[#This Row],[Client]],Table1[[#This Row],[Budget ID]],Table1[[#This Row],[Ressource
'[Initials']]])</f>
        <v>Labflex-230003-1-MS</v>
      </c>
      <c r="L421" s="19" t="s">
        <v>474</v>
      </c>
      <c r="M421" s="22"/>
      <c r="N421" s="22"/>
      <c r="O421" s="23">
        <v>1</v>
      </c>
      <c r="P421" s="117" cm="1">
        <f t="array" ref="P421">_xlfn.XLOOKUP(Table1[[#This Row],[UID
'[Helper']]],Table2[[#All],[UID
'[Helper']]],Table2[[#All],[Rate
DKK]],"Not found :(",0,1)</f>
        <v>900</v>
      </c>
      <c r="Q421" s="117">
        <f t="shared" si="45"/>
        <v>900</v>
      </c>
      <c r="R421" s="118"/>
      <c r="S421" s="118"/>
    </row>
    <row r="422" spans="1:19" ht="13.5">
      <c r="A422" s="18" t="s">
        <v>14</v>
      </c>
      <c r="B422" s="18" t="s">
        <v>24</v>
      </c>
      <c r="C422" s="19" t="s">
        <v>71</v>
      </c>
      <c r="D422" s="49" t="s">
        <v>218</v>
      </c>
      <c r="E422" s="18" t="s">
        <v>37</v>
      </c>
      <c r="F422" s="20">
        <v>45999</v>
      </c>
      <c r="G422" s="21">
        <f t="shared" si="41"/>
        <v>50</v>
      </c>
      <c r="H422" s="21" t="s">
        <v>22</v>
      </c>
      <c r="I422" s="79" t="str">
        <f t="shared" si="44"/>
        <v>12-2025</v>
      </c>
      <c r="J422" s="86" t="str">
        <f>(YEAR(F422)&amp;TEXT(Table1[[#This Row],[Week]],"00"))</f>
        <v>202550</v>
      </c>
      <c r="K422" s="79" t="str">
        <f>_xlfn.TEXTJOIN("-",TRUE,Table1[[#This Row],[Client]],Table1[[#This Row],[Budget ID]],Table1[[#This Row],[Ressource
'[Initials']]])</f>
        <v>Labflex-230003-1-MS</v>
      </c>
      <c r="L422" s="19" t="s">
        <v>474</v>
      </c>
      <c r="M422" s="22"/>
      <c r="N422" s="22"/>
      <c r="O422" s="23">
        <v>0.5</v>
      </c>
      <c r="P422" s="117" cm="1">
        <f t="array" ref="P422">_xlfn.XLOOKUP(Table1[[#This Row],[UID
'[Helper']]],Table2[[#All],[UID
'[Helper']]],Table2[[#All],[Rate
DKK]],"Not found :(",0,1)</f>
        <v>900</v>
      </c>
      <c r="Q422" s="117">
        <f t="shared" si="45"/>
        <v>450</v>
      </c>
      <c r="R422" s="118"/>
      <c r="S422" s="118"/>
    </row>
    <row r="423" spans="1:19" ht="13.5">
      <c r="A423" s="18" t="s">
        <v>14</v>
      </c>
      <c r="B423" s="18" t="s">
        <v>24</v>
      </c>
      <c r="C423" s="19" t="s">
        <v>371</v>
      </c>
      <c r="D423" s="49" t="s">
        <v>218</v>
      </c>
      <c r="E423" s="18" t="s">
        <v>46</v>
      </c>
      <c r="F423" s="20">
        <v>45999</v>
      </c>
      <c r="G423" s="21">
        <f t="shared" si="41"/>
        <v>50</v>
      </c>
      <c r="H423" s="21" t="s">
        <v>22</v>
      </c>
      <c r="I423" s="79" t="str">
        <f t="shared" si="44"/>
        <v>12-2025</v>
      </c>
      <c r="J423" s="86" t="str">
        <f>(YEAR(F423)&amp;TEXT(Table1[[#This Row],[Week]],"00"))</f>
        <v>202550</v>
      </c>
      <c r="K423" s="79" t="str">
        <f>_xlfn.TEXTJOIN("-",TRUE,Table1[[#This Row],[Client]],Table1[[#This Row],[Budget ID]],Table1[[#This Row],[Ressource
'[Initials']]])</f>
        <v>Labflex-230003-1-MS</v>
      </c>
      <c r="L423" s="19" t="s">
        <v>474</v>
      </c>
      <c r="M423" s="22"/>
      <c r="N423" s="22"/>
      <c r="O423" s="23">
        <v>1</v>
      </c>
      <c r="P423" s="117" cm="1">
        <f t="array" ref="P423">_xlfn.XLOOKUP(Table1[[#This Row],[UID
'[Helper']]],Table2[[#All],[UID
'[Helper']]],Table2[[#All],[Rate
DKK]],"Not found :(",0,1)</f>
        <v>900</v>
      </c>
      <c r="Q423" s="117">
        <f t="shared" si="45"/>
        <v>900</v>
      </c>
      <c r="R423" s="118"/>
      <c r="S423" s="118"/>
    </row>
    <row r="424" spans="1:19" ht="13.5">
      <c r="A424" s="18" t="s">
        <v>14</v>
      </c>
      <c r="B424" s="18" t="s">
        <v>24</v>
      </c>
      <c r="C424" s="19" t="s">
        <v>370</v>
      </c>
      <c r="D424" s="49" t="s">
        <v>218</v>
      </c>
      <c r="E424" s="18" t="s">
        <v>46</v>
      </c>
      <c r="F424" s="20">
        <v>45999</v>
      </c>
      <c r="G424" s="21">
        <f t="shared" si="41"/>
        <v>50</v>
      </c>
      <c r="H424" s="21" t="s">
        <v>22</v>
      </c>
      <c r="I424" s="79" t="str">
        <f t="shared" si="44"/>
        <v>12-2025</v>
      </c>
      <c r="J424" s="86" t="str">
        <f>(YEAR(F424)&amp;TEXT(Table1[[#This Row],[Week]],"00"))</f>
        <v>202550</v>
      </c>
      <c r="K424" s="79" t="str">
        <f>_xlfn.TEXTJOIN("-",TRUE,Table1[[#This Row],[Client]],Table1[[#This Row],[Budget ID]],Table1[[#This Row],[Ressource
'[Initials']]])</f>
        <v>Labflex-230003-1-MS</v>
      </c>
      <c r="L424" s="19" t="s">
        <v>474</v>
      </c>
      <c r="M424" s="22"/>
      <c r="N424" s="22"/>
      <c r="O424" s="23">
        <v>0.5</v>
      </c>
      <c r="P424" s="117" cm="1">
        <f t="array" ref="P424">_xlfn.XLOOKUP(Table1[[#This Row],[UID
'[Helper']]],Table2[[#All],[UID
'[Helper']]],Table2[[#All],[Rate
DKK]],"Not found :(",0,1)</f>
        <v>900</v>
      </c>
      <c r="Q424" s="117">
        <f t="shared" si="45"/>
        <v>450</v>
      </c>
      <c r="R424" s="118"/>
      <c r="S424" s="118"/>
    </row>
    <row r="425" spans="1:19" ht="13.5">
      <c r="A425" s="18" t="s">
        <v>14</v>
      </c>
      <c r="B425" s="18" t="s">
        <v>24</v>
      </c>
      <c r="C425" s="19" t="s">
        <v>273</v>
      </c>
      <c r="D425" s="49" t="s">
        <v>218</v>
      </c>
      <c r="E425" s="18" t="s">
        <v>79</v>
      </c>
      <c r="F425" s="20">
        <v>45999</v>
      </c>
      <c r="G425" s="21">
        <f t="shared" si="41"/>
        <v>50</v>
      </c>
      <c r="H425" s="21" t="s">
        <v>22</v>
      </c>
      <c r="I425" s="79" t="str">
        <f t="shared" si="44"/>
        <v>12-2025</v>
      </c>
      <c r="J425" s="86" t="str">
        <f>(YEAR(F425)&amp;TEXT(Table1[[#This Row],[Week]],"00"))</f>
        <v>202550</v>
      </c>
      <c r="K425" s="79" t="str">
        <f>_xlfn.TEXTJOIN("-",TRUE,Table1[[#This Row],[Client]],Table1[[#This Row],[Budget ID]],Table1[[#This Row],[Ressource
'[Initials']]])</f>
        <v>Labflex-230003-1-MS</v>
      </c>
      <c r="L425" s="19" t="s">
        <v>475</v>
      </c>
      <c r="M425" s="22"/>
      <c r="N425" s="22"/>
      <c r="O425" s="23">
        <v>0.5</v>
      </c>
      <c r="P425" s="117" cm="1">
        <f t="array" ref="P425">_xlfn.XLOOKUP(Table1[[#This Row],[UID
'[Helper']]],Table2[[#All],[UID
'[Helper']]],Table2[[#All],[Rate
DKK]],"Not found :(",0,1)</f>
        <v>900</v>
      </c>
      <c r="Q425" s="117">
        <f t="shared" si="45"/>
        <v>450</v>
      </c>
      <c r="R425" s="118"/>
      <c r="S425" s="118"/>
    </row>
    <row r="426" spans="1:19" ht="13.5">
      <c r="A426" s="18" t="s">
        <v>14</v>
      </c>
      <c r="B426" s="18" t="s">
        <v>24</v>
      </c>
      <c r="C426" s="19" t="s">
        <v>277</v>
      </c>
      <c r="D426" s="49" t="s">
        <v>218</v>
      </c>
      <c r="E426" s="18" t="s">
        <v>79</v>
      </c>
      <c r="F426" s="20">
        <v>45999</v>
      </c>
      <c r="G426" s="21">
        <f t="shared" si="41"/>
        <v>50</v>
      </c>
      <c r="H426" s="21" t="s">
        <v>22</v>
      </c>
      <c r="I426" s="79" t="str">
        <f t="shared" si="44"/>
        <v>12-2025</v>
      </c>
      <c r="J426" s="86" t="str">
        <f>(YEAR(F426)&amp;TEXT(Table1[[#This Row],[Week]],"00"))</f>
        <v>202550</v>
      </c>
      <c r="K426" s="79" t="str">
        <f>_xlfn.TEXTJOIN("-",TRUE,Table1[[#This Row],[Client]],Table1[[#This Row],[Budget ID]],Table1[[#This Row],[Ressource
'[Initials']]])</f>
        <v>Labflex-230003-1-MS</v>
      </c>
      <c r="L426" s="19" t="s">
        <v>475</v>
      </c>
      <c r="M426" s="22"/>
      <c r="N426" s="22"/>
      <c r="O426" s="23">
        <v>1</v>
      </c>
      <c r="P426" s="117" cm="1">
        <f t="array" ref="P426">_xlfn.XLOOKUP(Table1[[#This Row],[UID
'[Helper']]],Table2[[#All],[UID
'[Helper']]],Table2[[#All],[Rate
DKK]],"Not found :(",0,1)</f>
        <v>900</v>
      </c>
      <c r="Q426" s="117">
        <f t="shared" si="45"/>
        <v>900</v>
      </c>
      <c r="R426" s="118"/>
      <c r="S426" s="118"/>
    </row>
    <row r="427" spans="1:19" ht="13.5">
      <c r="A427" s="194" t="s">
        <v>107</v>
      </c>
      <c r="B427" s="194" t="s">
        <v>154</v>
      </c>
      <c r="C427" s="195"/>
      <c r="D427" s="49">
        <v>240021</v>
      </c>
      <c r="E427" s="194" t="s">
        <v>37</v>
      </c>
      <c r="F427" s="196">
        <v>46007</v>
      </c>
      <c r="G427" s="197">
        <f t="shared" ref="G427:G438" si="46">WEEKNUM($F427,21)</f>
        <v>51</v>
      </c>
      <c r="H427" s="197" t="s">
        <v>54</v>
      </c>
      <c r="I427" s="79" t="str">
        <f t="shared" ref="I427:I438" si="47">(MONTH(F427)&amp;"-"&amp;YEAR(F427))</f>
        <v>12-2025</v>
      </c>
      <c r="J427" s="86" t="str">
        <f>(YEAR(F427)&amp;TEXT(Table1[[#This Row],[Week]],"00"))</f>
        <v>202551</v>
      </c>
      <c r="K427" s="79" t="str">
        <f>_xlfn.TEXTJOIN("-",TRUE,Table1[[#This Row],[Client]],Table1[[#This Row],[Budget ID]],Table1[[#This Row],[Ressource
'[Initials']]])</f>
        <v>Zystm-240021-ML</v>
      </c>
      <c r="L427" s="19" t="s">
        <v>480</v>
      </c>
      <c r="M427" s="22"/>
      <c r="N427" s="22"/>
      <c r="O427" s="23">
        <v>3</v>
      </c>
      <c r="P427" s="117" cm="1">
        <f t="array" ref="P427">_xlfn.XLOOKUP(Table1[[#This Row],[UID
'[Helper']]],Table2[[#All],[UID
'[Helper']]],Table2[[#All],[Rate
DKK]],"Not found :(",0,1)</f>
        <v>850</v>
      </c>
      <c r="Q427" s="117">
        <f t="shared" ref="Q427:Q438" si="48">IFERROR(O427*P427,0)</f>
        <v>2550</v>
      </c>
      <c r="R427" s="118"/>
      <c r="S427" s="118"/>
    </row>
    <row r="428" spans="1:19" ht="13.5">
      <c r="A428" s="194" t="s">
        <v>107</v>
      </c>
      <c r="B428" s="194" t="s">
        <v>153</v>
      </c>
      <c r="C428" s="195"/>
      <c r="D428" s="49">
        <v>240021</v>
      </c>
      <c r="E428" s="194" t="s">
        <v>37</v>
      </c>
      <c r="F428" s="196">
        <v>46007</v>
      </c>
      <c r="G428" s="197">
        <f t="shared" si="46"/>
        <v>51</v>
      </c>
      <c r="H428" s="197" t="s">
        <v>54</v>
      </c>
      <c r="I428" s="79" t="str">
        <f t="shared" si="47"/>
        <v>12-2025</v>
      </c>
      <c r="J428" s="86" t="str">
        <f>(YEAR(F428)&amp;TEXT(Table1[[#This Row],[Week]],"00"))</f>
        <v>202551</v>
      </c>
      <c r="K428" s="79" t="str">
        <f>_xlfn.TEXTJOIN("-",TRUE,Table1[[#This Row],[Client]],Table1[[#This Row],[Budget ID]],Table1[[#This Row],[Ressource
'[Initials']]])</f>
        <v>Zystm-240021-ML</v>
      </c>
      <c r="L428" s="19" t="s">
        <v>481</v>
      </c>
      <c r="M428" s="22"/>
      <c r="N428" s="22"/>
      <c r="O428" s="23">
        <v>2</v>
      </c>
      <c r="P428" s="117" cm="1">
        <f t="array" ref="P428">_xlfn.XLOOKUP(Table1[[#This Row],[UID
'[Helper']]],Table2[[#All],[UID
'[Helper']]],Table2[[#All],[Rate
DKK]],"Not found :(",0,1)</f>
        <v>850</v>
      </c>
      <c r="Q428" s="117">
        <f t="shared" si="48"/>
        <v>1700</v>
      </c>
      <c r="R428" s="118"/>
      <c r="S428" s="118"/>
    </row>
    <row r="429" spans="1:19" ht="13.5">
      <c r="A429" s="194" t="s">
        <v>368</v>
      </c>
      <c r="B429" s="194" t="s">
        <v>448</v>
      </c>
      <c r="C429" s="195" t="s">
        <v>368</v>
      </c>
      <c r="D429" s="49">
        <v>250902</v>
      </c>
      <c r="E429" s="194" t="s">
        <v>37</v>
      </c>
      <c r="F429" s="196">
        <v>46008</v>
      </c>
      <c r="G429" s="197">
        <f t="shared" si="46"/>
        <v>51</v>
      </c>
      <c r="H429" s="197" t="s">
        <v>54</v>
      </c>
      <c r="I429" s="79" t="str">
        <f t="shared" si="47"/>
        <v>12-2025</v>
      </c>
      <c r="J429" s="86" t="str">
        <f>(YEAR(F429)&amp;TEXT(Table1[[#This Row],[Week]],"00"))</f>
        <v>202551</v>
      </c>
      <c r="K429" s="79" t="str">
        <f>_xlfn.TEXTJOIN("-",TRUE,Table1[[#This Row],[Client]],Table1[[#This Row],[Budget ID]],Table1[[#This Row],[Ressource
'[Initials']]])</f>
        <v>Kyodo Projects-250902-ML</v>
      </c>
      <c r="L429" s="19" t="s">
        <v>482</v>
      </c>
      <c r="M429" s="22"/>
      <c r="N429" s="22"/>
      <c r="O429" s="23">
        <v>3</v>
      </c>
      <c r="P429" s="117" cm="1">
        <f t="array" ref="P429">_xlfn.XLOOKUP(Table1[[#This Row],[UID
'[Helper']]],Table2[[#All],[UID
'[Helper']]],Table2[[#All],[Rate
DKK]],"Not found :(",0,1)</f>
        <v>900</v>
      </c>
      <c r="Q429" s="117">
        <f t="shared" si="48"/>
        <v>2700</v>
      </c>
      <c r="R429" s="118"/>
      <c r="S429" s="118"/>
    </row>
    <row r="430" spans="1:19" ht="13.5">
      <c r="A430" s="198" t="s">
        <v>143</v>
      </c>
      <c r="B430" s="194" t="s">
        <v>144</v>
      </c>
      <c r="C430" s="195"/>
      <c r="D430" s="49">
        <v>240018</v>
      </c>
      <c r="E430" s="194" t="s">
        <v>37</v>
      </c>
      <c r="F430" s="196">
        <v>46008</v>
      </c>
      <c r="G430" s="197">
        <f t="shared" si="46"/>
        <v>51</v>
      </c>
      <c r="H430" s="197" t="s">
        <v>54</v>
      </c>
      <c r="I430" s="79" t="str">
        <f t="shared" si="47"/>
        <v>12-2025</v>
      </c>
      <c r="J430" s="86" t="str">
        <f>(YEAR(F430)&amp;TEXT(Table1[[#This Row],[Week]],"00"))</f>
        <v>202551</v>
      </c>
      <c r="K430" s="79" t="str">
        <f>_xlfn.TEXTJOIN("-",TRUE,Table1[[#This Row],[Client]],Table1[[#This Row],[Budget ID]],Table1[[#This Row],[Ressource
'[Initials']]])</f>
        <v>CCRM-240018-ML</v>
      </c>
      <c r="L430" s="19" t="s">
        <v>479</v>
      </c>
      <c r="M430" s="22"/>
      <c r="N430" s="22"/>
      <c r="O430" s="23">
        <v>2</v>
      </c>
      <c r="P430" s="117" cm="1">
        <f t="array" ref="P430">_xlfn.XLOOKUP(Table1[[#This Row],[UID
'[Helper']]],Table2[[#All],[UID
'[Helper']]],Table2[[#All],[Rate
DKK]],"Not found :(",0,1)</f>
        <v>900</v>
      </c>
      <c r="Q430" s="117">
        <f t="shared" si="48"/>
        <v>1800</v>
      </c>
      <c r="R430" s="118"/>
      <c r="S430" s="118"/>
    </row>
    <row r="431" spans="1:19" ht="13.5">
      <c r="A431" s="194" t="s">
        <v>107</v>
      </c>
      <c r="B431" s="194" t="s">
        <v>154</v>
      </c>
      <c r="C431" s="195"/>
      <c r="D431" s="49">
        <v>240021</v>
      </c>
      <c r="E431" s="194" t="s">
        <v>37</v>
      </c>
      <c r="F431" s="196">
        <v>46008</v>
      </c>
      <c r="G431" s="197">
        <f t="shared" si="46"/>
        <v>51</v>
      </c>
      <c r="H431" s="197" t="s">
        <v>54</v>
      </c>
      <c r="I431" s="79" t="str">
        <f t="shared" si="47"/>
        <v>12-2025</v>
      </c>
      <c r="J431" s="86" t="str">
        <f>(YEAR(F431)&amp;TEXT(Table1[[#This Row],[Week]],"00"))</f>
        <v>202551</v>
      </c>
      <c r="K431" s="79" t="str">
        <f>_xlfn.TEXTJOIN("-",TRUE,Table1[[#This Row],[Client]],Table1[[#This Row],[Budget ID]],Table1[[#This Row],[Ressource
'[Initials']]])</f>
        <v>Zystm-240021-ML</v>
      </c>
      <c r="L431" s="19" t="s">
        <v>483</v>
      </c>
      <c r="M431" s="22"/>
      <c r="N431" s="22"/>
      <c r="O431" s="23">
        <v>2.5</v>
      </c>
      <c r="P431" s="117" cm="1">
        <f t="array" ref="P431">_xlfn.XLOOKUP(Table1[[#This Row],[UID
'[Helper']]],Table2[[#All],[UID
'[Helper']]],Table2[[#All],[Rate
DKK]],"Not found :(",0,1)</f>
        <v>850</v>
      </c>
      <c r="Q431" s="117">
        <f t="shared" si="48"/>
        <v>2125</v>
      </c>
      <c r="R431" s="118"/>
      <c r="S431" s="118"/>
    </row>
    <row r="432" spans="1:19" ht="13.5">
      <c r="A432" s="194" t="s">
        <v>107</v>
      </c>
      <c r="B432" s="194" t="s">
        <v>153</v>
      </c>
      <c r="C432" s="195"/>
      <c r="D432" s="49">
        <v>240021</v>
      </c>
      <c r="E432" s="194" t="s">
        <v>37</v>
      </c>
      <c r="F432" s="196">
        <v>46008</v>
      </c>
      <c r="G432" s="197">
        <f t="shared" si="46"/>
        <v>51</v>
      </c>
      <c r="H432" s="197" t="s">
        <v>54</v>
      </c>
      <c r="I432" s="79" t="str">
        <f t="shared" si="47"/>
        <v>12-2025</v>
      </c>
      <c r="J432" s="86" t="str">
        <f>(YEAR(F432)&amp;TEXT(Table1[[#This Row],[Week]],"00"))</f>
        <v>202551</v>
      </c>
      <c r="K432" s="79" t="str">
        <f>_xlfn.TEXTJOIN("-",TRUE,Table1[[#This Row],[Client]],Table1[[#This Row],[Budget ID]],Table1[[#This Row],[Ressource
'[Initials']]])</f>
        <v>Zystm-240021-ML</v>
      </c>
      <c r="L432" s="19" t="s">
        <v>484</v>
      </c>
      <c r="M432" s="22"/>
      <c r="N432" s="22"/>
      <c r="O432" s="23">
        <v>2.5</v>
      </c>
      <c r="P432" s="117" cm="1">
        <f t="array" ref="P432">_xlfn.XLOOKUP(Table1[[#This Row],[UID
'[Helper']]],Table2[[#All],[UID
'[Helper']]],Table2[[#All],[Rate
DKK]],"Not found :(",0,1)</f>
        <v>850</v>
      </c>
      <c r="Q432" s="117">
        <f t="shared" si="48"/>
        <v>2125</v>
      </c>
      <c r="R432" s="118"/>
      <c r="S432" s="118"/>
    </row>
    <row r="433" spans="1:19" ht="13.5">
      <c r="A433" s="194" t="s">
        <v>107</v>
      </c>
      <c r="B433" s="194" t="s">
        <v>154</v>
      </c>
      <c r="C433" s="195"/>
      <c r="D433" s="49">
        <v>240021</v>
      </c>
      <c r="E433" s="194" t="s">
        <v>37</v>
      </c>
      <c r="F433" s="196">
        <v>46009</v>
      </c>
      <c r="G433" s="197">
        <f t="shared" si="46"/>
        <v>51</v>
      </c>
      <c r="H433" s="197" t="s">
        <v>54</v>
      </c>
      <c r="I433" s="79" t="str">
        <f t="shared" si="47"/>
        <v>12-2025</v>
      </c>
      <c r="J433" s="86" t="str">
        <f>(YEAR(F433)&amp;TEXT(Table1[[#This Row],[Week]],"00"))</f>
        <v>202551</v>
      </c>
      <c r="K433" s="79" t="str">
        <f>_xlfn.TEXTJOIN("-",TRUE,Table1[[#This Row],[Client]],Table1[[#This Row],[Budget ID]],Table1[[#This Row],[Ressource
'[Initials']]])</f>
        <v>Zystm-240021-ML</v>
      </c>
      <c r="L433" s="19" t="s">
        <v>485</v>
      </c>
      <c r="M433" s="22"/>
      <c r="N433" s="22"/>
      <c r="O433" s="23">
        <v>15</v>
      </c>
      <c r="P433" s="117" cm="1">
        <f t="array" ref="P433">_xlfn.XLOOKUP(Table1[[#This Row],[UID
'[Helper']]],Table2[[#All],[UID
'[Helper']]],Table2[[#All],[Rate
DKK]],"Not found :(",0,1)</f>
        <v>850</v>
      </c>
      <c r="Q433" s="117">
        <f t="shared" si="48"/>
        <v>12750</v>
      </c>
      <c r="R433" s="118"/>
      <c r="S433" s="118"/>
    </row>
    <row r="434" spans="1:19" ht="13.5">
      <c r="A434" s="198" t="s">
        <v>143</v>
      </c>
      <c r="B434" s="194" t="s">
        <v>144</v>
      </c>
      <c r="C434" s="195"/>
      <c r="D434" s="49">
        <v>240018</v>
      </c>
      <c r="E434" s="194" t="s">
        <v>37</v>
      </c>
      <c r="F434" s="196">
        <v>46010</v>
      </c>
      <c r="G434" s="197">
        <f t="shared" si="46"/>
        <v>51</v>
      </c>
      <c r="H434" s="197" t="s">
        <v>54</v>
      </c>
      <c r="I434" s="79" t="str">
        <f t="shared" si="47"/>
        <v>12-2025</v>
      </c>
      <c r="J434" s="86" t="str">
        <f>(YEAR(F434)&amp;TEXT(Table1[[#This Row],[Week]],"00"))</f>
        <v>202551</v>
      </c>
      <c r="K434" s="79" t="str">
        <f>_xlfn.TEXTJOIN("-",TRUE,Table1[[#This Row],[Client]],Table1[[#This Row],[Budget ID]],Table1[[#This Row],[Ressource
'[Initials']]])</f>
        <v>CCRM-240018-ML</v>
      </c>
      <c r="L434" s="19" t="s">
        <v>479</v>
      </c>
      <c r="M434" s="22"/>
      <c r="N434" s="22"/>
      <c r="O434" s="23">
        <v>7</v>
      </c>
      <c r="P434" s="117" cm="1">
        <f t="array" ref="P434">_xlfn.XLOOKUP(Table1[[#This Row],[UID
'[Helper']]],Table2[[#All],[UID
'[Helper']]],Table2[[#All],[Rate
DKK]],"Not found :(",0,1)</f>
        <v>900</v>
      </c>
      <c r="Q434" s="117">
        <f t="shared" si="48"/>
        <v>6300</v>
      </c>
      <c r="R434" s="118"/>
      <c r="S434" s="118"/>
    </row>
    <row r="435" spans="1:19" ht="13.5">
      <c r="A435" s="194" t="s">
        <v>107</v>
      </c>
      <c r="B435" s="194" t="s">
        <v>154</v>
      </c>
      <c r="C435" s="195"/>
      <c r="D435" s="49">
        <v>240021</v>
      </c>
      <c r="E435" s="194" t="s">
        <v>37</v>
      </c>
      <c r="F435" s="196">
        <v>46010</v>
      </c>
      <c r="G435" s="197">
        <f t="shared" si="46"/>
        <v>51</v>
      </c>
      <c r="H435" s="197" t="s">
        <v>54</v>
      </c>
      <c r="I435" s="79" t="str">
        <f t="shared" si="47"/>
        <v>12-2025</v>
      </c>
      <c r="J435" s="86" t="str">
        <f>(YEAR(F435)&amp;TEXT(Table1[[#This Row],[Week]],"00"))</f>
        <v>202551</v>
      </c>
      <c r="K435" s="79" t="str">
        <f>_xlfn.TEXTJOIN("-",TRUE,Table1[[#This Row],[Client]],Table1[[#This Row],[Budget ID]],Table1[[#This Row],[Ressource
'[Initials']]])</f>
        <v>Zystm-240021-ML</v>
      </c>
      <c r="L435" s="19" t="s">
        <v>486</v>
      </c>
      <c r="M435" s="22"/>
      <c r="N435" s="22"/>
      <c r="O435" s="23">
        <v>3.5</v>
      </c>
      <c r="P435" s="117" cm="1">
        <f t="array" ref="P435">_xlfn.XLOOKUP(Table1[[#This Row],[UID
'[Helper']]],Table2[[#All],[UID
'[Helper']]],Table2[[#All],[Rate
DKK]],"Not found :(",0,1)</f>
        <v>850</v>
      </c>
      <c r="Q435" s="117">
        <f t="shared" si="48"/>
        <v>2975</v>
      </c>
      <c r="R435" s="118"/>
      <c r="S435" s="118"/>
    </row>
    <row r="436" spans="1:19" ht="13.5">
      <c r="A436" s="194" t="s">
        <v>107</v>
      </c>
      <c r="B436" s="194" t="s">
        <v>153</v>
      </c>
      <c r="C436" s="195"/>
      <c r="D436" s="49">
        <v>240021</v>
      </c>
      <c r="E436" s="194" t="s">
        <v>37</v>
      </c>
      <c r="F436" s="196">
        <v>46010</v>
      </c>
      <c r="G436" s="197">
        <f t="shared" si="46"/>
        <v>51</v>
      </c>
      <c r="H436" s="197" t="s">
        <v>54</v>
      </c>
      <c r="I436" s="79" t="str">
        <f t="shared" si="47"/>
        <v>12-2025</v>
      </c>
      <c r="J436" s="86" t="str">
        <f>(YEAR(F436)&amp;TEXT(Table1[[#This Row],[Week]],"00"))</f>
        <v>202551</v>
      </c>
      <c r="K436" s="79" t="str">
        <f>_xlfn.TEXTJOIN("-",TRUE,Table1[[#This Row],[Client]],Table1[[#This Row],[Budget ID]],Table1[[#This Row],[Ressource
'[Initials']]])</f>
        <v>Zystm-240021-ML</v>
      </c>
      <c r="L436" s="19" t="s">
        <v>487</v>
      </c>
      <c r="M436" s="22"/>
      <c r="N436" s="22"/>
      <c r="O436" s="23">
        <v>1.5</v>
      </c>
      <c r="P436" s="117" cm="1">
        <f t="array" ref="P436">_xlfn.XLOOKUP(Table1[[#This Row],[UID
'[Helper']]],Table2[[#All],[UID
'[Helper']]],Table2[[#All],[Rate
DKK]],"Not found :(",0,1)</f>
        <v>850</v>
      </c>
      <c r="Q436" s="117">
        <f t="shared" si="48"/>
        <v>1275</v>
      </c>
      <c r="R436" s="118"/>
      <c r="S436" s="118"/>
    </row>
    <row r="437" spans="1:19" ht="13.5">
      <c r="A437" s="194" t="s">
        <v>368</v>
      </c>
      <c r="B437" s="194" t="s">
        <v>448</v>
      </c>
      <c r="C437" s="195" t="s">
        <v>368</v>
      </c>
      <c r="D437" s="49">
        <v>250902</v>
      </c>
      <c r="E437" s="194" t="s">
        <v>37</v>
      </c>
      <c r="F437" s="196">
        <v>46008</v>
      </c>
      <c r="G437" s="197">
        <f t="shared" si="46"/>
        <v>51</v>
      </c>
      <c r="H437" s="197" t="s">
        <v>54</v>
      </c>
      <c r="I437" s="79" t="str">
        <f t="shared" si="47"/>
        <v>12-2025</v>
      </c>
      <c r="J437" s="86" t="str">
        <f>(YEAR(F437)&amp;TEXT(Table1[[#This Row],[Week]],"00"))</f>
        <v>202551</v>
      </c>
      <c r="K437" s="79" t="str">
        <f>_xlfn.TEXTJOIN("-",TRUE,Table1[[#This Row],[Client]],Table1[[#This Row],[Budget ID]],Table1[[#This Row],[Ressource
'[Initials']]])</f>
        <v>Kyodo Projects-250902-ML</v>
      </c>
      <c r="L437" s="19" t="s">
        <v>488</v>
      </c>
      <c r="M437" s="22"/>
      <c r="N437" s="22"/>
      <c r="O437" s="23">
        <v>5</v>
      </c>
      <c r="P437" s="117" cm="1">
        <f t="array" ref="P437">_xlfn.XLOOKUP(Table1[[#This Row],[UID
'[Helper']]],Table2[[#All],[UID
'[Helper']]],Table2[[#All],[Rate
DKK]],"Not found :(",0,1)</f>
        <v>900</v>
      </c>
      <c r="Q437" s="117">
        <f t="shared" si="48"/>
        <v>4500</v>
      </c>
      <c r="R437" s="118"/>
      <c r="S437" s="118"/>
    </row>
    <row r="438" spans="1:19" ht="13.5">
      <c r="A438" s="198" t="s">
        <v>143</v>
      </c>
      <c r="B438" s="194" t="s">
        <v>144</v>
      </c>
      <c r="C438" s="195"/>
      <c r="D438" s="49">
        <v>240018</v>
      </c>
      <c r="E438" s="194" t="s">
        <v>37</v>
      </c>
      <c r="F438" s="196">
        <v>46013</v>
      </c>
      <c r="G438" s="197">
        <f t="shared" si="46"/>
        <v>52</v>
      </c>
      <c r="H438" s="197" t="s">
        <v>54</v>
      </c>
      <c r="I438" s="79" t="str">
        <f t="shared" si="47"/>
        <v>12-2025</v>
      </c>
      <c r="J438" s="86" t="str">
        <f>(YEAR(F438)&amp;TEXT(Table1[[#This Row],[Week]],"00"))</f>
        <v>202552</v>
      </c>
      <c r="K438" s="79" t="str">
        <f>_xlfn.TEXTJOIN("-",TRUE,Table1[[#This Row],[Client]],Table1[[#This Row],[Budget ID]],Table1[[#This Row],[Ressource
'[Initials']]])</f>
        <v>CCRM-240018-ML</v>
      </c>
      <c r="L438" s="19" t="s">
        <v>479</v>
      </c>
      <c r="M438" s="22"/>
      <c r="N438" s="22"/>
      <c r="O438" s="23">
        <v>4</v>
      </c>
      <c r="P438" s="117" cm="1">
        <f t="array" ref="P438">_xlfn.XLOOKUP(Table1[[#This Row],[UID
'[Helper']]],Table2[[#All],[UID
'[Helper']]],Table2[[#All],[Rate
DKK]],"Not found :(",0,1)</f>
        <v>900</v>
      </c>
      <c r="Q438" s="117">
        <f t="shared" si="48"/>
        <v>3600</v>
      </c>
      <c r="R438" s="118"/>
      <c r="S438" s="118"/>
    </row>
  </sheetData>
  <sheetProtection formatCells="0" insertRows="0" insertHyperlinks="0" deleteRows="0" sort="0" autoFilter="0" pivotTables="0"/>
  <phoneticPr fontId="20" type="noConversion"/>
  <dataValidations count="3">
    <dataValidation type="list" allowBlank="1" showInputMessage="1" showErrorMessage="1" sqref="A312:A317 A327:A331 A334 A320:A325 A352 A354:A359 A337:A350 A375:A382 A384:A389 A394:A395 A399:A400 A402:A405 A407:A408 A410:A411 A413:A416 A419 A423 A425:A429 A431:A433 A435:A437 A361:A373 A7:A310" xr:uid="{10E57F71-BA11-4CFC-81AB-89E923D5407E}">
      <formula1>Clients</formula1>
    </dataValidation>
    <dataValidation type="list" allowBlank="1" showInputMessage="1" showErrorMessage="1" sqref="D305:D307 D309:E309 D311:D312 D318:D319 D332:D333 D335:D336 D351 D353 D355 D360 D326 E435:E436 E375:E382 E384:E389 E394:E395 E399:E400 E402:E405 E407:E408 E410:E411 E413:E416 E419 E423 E425:E428 E431:E433 D292 E310:E373 E7:E308" xr:uid="{97B60532-8532-49BD-969A-2844F508C430}">
      <formula1>Activity</formula1>
    </dataValidation>
    <dataValidation type="list" allowBlank="1" showInputMessage="1" showErrorMessage="1" sqref="H7:H137" xr:uid="{F618C84C-97FA-496F-BA3A-A14D1AD36990}">
      <formula1>Ressource</formula1>
    </dataValidation>
  </dataValidations>
  <printOptions horizontalCentered="1"/>
  <pageMargins left="0.7" right="0.7" top="0.75" bottom="0.75" header="0.3" footer="0.3"/>
  <pageSetup paperSize="9" scale="35" fitToHeight="0" orientation="landscape" r:id="rId1"/>
  <headerFooter>
    <oddHeader>&amp;LTimesheet: Hours&amp;C&amp;A&amp;R&amp;G</oddHeader>
    <oddFooter>&amp;L&amp;10&amp;Z&amp;F → &amp;A&amp;C&amp;D&amp;R&amp;"Aptos,Bold"&amp;10Page &amp;P&amp;"Aptos,Regular" of &amp;N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C5AA7C-2B4D-45BC-945D-47BC62FCBCF7}">
          <x14:formula1>
            <xm:f>Meta!$B$5:$B$492</xm:f>
          </x14:formula1>
          <xm:sqref>B238 B232:B234 B226 B221:B224 B217:B219 B203:B215 B142:B168 B170:B184 B188:B190 B192:B197 B199:B201 B7:B137 B228:B229 B236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7D74-D42F-4C19-A0DC-C17F7512C4B2}">
  <sheetPr>
    <tabColor theme="0" tint="-0.499984740745262"/>
  </sheetPr>
  <dimension ref="A1:W112"/>
  <sheetViews>
    <sheetView showGridLines="0" zoomScale="85" zoomScaleNormal="85" workbookViewId="0">
      <selection activeCell="A14" sqref="A14"/>
    </sheetView>
  </sheetViews>
  <sheetFormatPr defaultColWidth="8.5703125" defaultRowHeight="15"/>
  <cols>
    <col min="1" max="1" width="22" style="3" customWidth="1"/>
    <col min="2" max="2" width="24.5703125" style="3" customWidth="1"/>
    <col min="3" max="3" width="26" style="3" bestFit="1" customWidth="1"/>
    <col min="4" max="4" width="12.5703125" style="3" bestFit="1" customWidth="1"/>
    <col min="5" max="5" width="12.5703125" style="3" customWidth="1"/>
    <col min="6" max="6" width="14.42578125" style="3" customWidth="1"/>
    <col min="7" max="10" width="12.5703125" style="3" customWidth="1"/>
    <col min="11" max="11" width="30.42578125" style="3" bestFit="1" customWidth="1"/>
    <col min="12" max="12" width="10.42578125" style="3" bestFit="1" customWidth="1"/>
    <col min="13" max="13" width="8.5703125" style="3"/>
    <col min="14" max="14" width="10.5703125" style="3" customWidth="1"/>
    <col min="15" max="16" width="16.42578125" style="3" customWidth="1"/>
    <col min="17" max="17" width="13.5703125" style="3" customWidth="1"/>
    <col min="18" max="18" width="15.42578125" style="3" customWidth="1"/>
    <col min="19" max="19" width="8.5703125" style="3"/>
    <col min="20" max="20" width="20" style="3" bestFit="1" customWidth="1"/>
    <col min="21" max="21" width="8.5703125" style="3"/>
    <col min="22" max="22" width="27.42578125" style="3" bestFit="1" customWidth="1"/>
    <col min="23" max="23" width="12.42578125" style="3" bestFit="1" customWidth="1"/>
    <col min="24" max="16384" width="8.5703125" style="3"/>
  </cols>
  <sheetData>
    <row r="1" spans="1:23">
      <c r="A1" s="2" t="s">
        <v>23</v>
      </c>
      <c r="N1" s="2" t="s">
        <v>27</v>
      </c>
      <c r="T1" s="2" t="s">
        <v>103</v>
      </c>
      <c r="V1" s="24" t="s">
        <v>111</v>
      </c>
    </row>
    <row r="2" spans="1:23">
      <c r="A2" s="2"/>
      <c r="N2" s="10" t="s">
        <v>34</v>
      </c>
      <c r="O2" s="17">
        <v>160.33000000000001</v>
      </c>
      <c r="P2" s="17">
        <v>7.4</v>
      </c>
      <c r="Q2" s="59">
        <v>0.85</v>
      </c>
      <c r="T2" s="2"/>
      <c r="V2" s="24"/>
    </row>
    <row r="3" spans="1:23">
      <c r="A3" s="10" t="s">
        <v>34</v>
      </c>
      <c r="B3" s="10" t="s">
        <v>34</v>
      </c>
      <c r="C3" s="10"/>
      <c r="D3" s="10"/>
      <c r="E3" s="10"/>
      <c r="F3" s="10"/>
      <c r="G3" s="10"/>
      <c r="H3" s="10"/>
      <c r="I3" s="10"/>
      <c r="J3" s="10" t="s">
        <v>34</v>
      </c>
      <c r="K3" s="11" t="s">
        <v>25</v>
      </c>
      <c r="L3" s="10" t="s">
        <v>34</v>
      </c>
      <c r="N3" s="10" t="s">
        <v>34</v>
      </c>
      <c r="O3" s="10" t="s">
        <v>34</v>
      </c>
      <c r="P3" s="10" t="s">
        <v>34</v>
      </c>
      <c r="Q3" s="10" t="s">
        <v>34</v>
      </c>
      <c r="R3" s="11" t="s">
        <v>25</v>
      </c>
      <c r="T3" s="10" t="s">
        <v>34</v>
      </c>
      <c r="V3" s="25" t="s">
        <v>34</v>
      </c>
      <c r="W3" s="25" t="s">
        <v>34</v>
      </c>
    </row>
    <row r="4" spans="1:23" ht="45" customHeight="1">
      <c r="A4" s="46" t="s">
        <v>30</v>
      </c>
      <c r="B4" s="46" t="s">
        <v>28</v>
      </c>
      <c r="C4" s="46" t="s">
        <v>128</v>
      </c>
      <c r="D4" s="46" t="s">
        <v>125</v>
      </c>
      <c r="E4" s="46" t="s">
        <v>126</v>
      </c>
      <c r="F4" s="46" t="s">
        <v>147</v>
      </c>
      <c r="G4" s="46" t="s">
        <v>132</v>
      </c>
      <c r="H4" s="13" t="s">
        <v>133</v>
      </c>
      <c r="I4" s="46" t="s">
        <v>129</v>
      </c>
      <c r="J4" s="7" t="s">
        <v>29</v>
      </c>
      <c r="K4" s="13" t="s">
        <v>98</v>
      </c>
      <c r="L4" s="7" t="s">
        <v>31</v>
      </c>
      <c r="N4" s="7" t="s">
        <v>32</v>
      </c>
      <c r="O4" s="7" t="s">
        <v>121</v>
      </c>
      <c r="P4" s="7" t="s">
        <v>160</v>
      </c>
      <c r="Q4" s="7" t="s">
        <v>33</v>
      </c>
      <c r="R4" s="13" t="s">
        <v>161</v>
      </c>
      <c r="T4" s="9" t="s">
        <v>35</v>
      </c>
      <c r="V4" s="30" t="s">
        <v>105</v>
      </c>
      <c r="W4" s="31" t="s">
        <v>112</v>
      </c>
    </row>
    <row r="5" spans="1:23">
      <c r="A5" s="6" t="s">
        <v>17</v>
      </c>
      <c r="B5" s="6" t="s">
        <v>19</v>
      </c>
      <c r="C5" s="6" t="str">
        <f>IF(Table2[[#This Row],[Filter out of look-ups
'[Yes/No']]]="Yes","",Table2[[#This Row],[Project
'[Name']]])</f>
        <v/>
      </c>
      <c r="D5" s="16">
        <v>230002</v>
      </c>
      <c r="E5" s="16">
        <f>Table2[[#This Row],[Project ID
'[Number']]]</f>
        <v>230002</v>
      </c>
      <c r="F5" s="56"/>
      <c r="G5" s="47"/>
      <c r="H5" s="48" t="str">
        <f>IF(Table2[[#This Row],[Valid from (date)]]="","",(MONTH(G5)&amp;"-"&amp;YEAR(G5)))</f>
        <v/>
      </c>
      <c r="I5" s="15" t="s">
        <v>127</v>
      </c>
      <c r="J5" s="6" t="s">
        <v>20</v>
      </c>
      <c r="K5" s="14" t="str">
        <f>_xlfn.TEXTJOIN("-",TRUE,Table2[[#This Row],[Client
'[Name']]],Table2[[#This Row],[Budget ID
'[BID']]],Table2[[#This Row],[Ressource
'[Initials']]])</f>
        <v>RH Arkitekter-230002-DS</v>
      </c>
      <c r="L5" s="6">
        <v>900</v>
      </c>
      <c r="N5" s="6" t="s">
        <v>20</v>
      </c>
      <c r="O5" s="6">
        <f>$O$2</f>
        <v>160.33000000000001</v>
      </c>
      <c r="P5" s="6">
        <f>$P$2</f>
        <v>7.4</v>
      </c>
      <c r="Q5" s="8">
        <f>$Q$2</f>
        <v>0.85</v>
      </c>
      <c r="R5" s="34">
        <f>O5*Q5</f>
        <v>136.28050000000002</v>
      </c>
      <c r="T5" s="6" t="s">
        <v>36</v>
      </c>
      <c r="V5" s="28" t="s">
        <v>113</v>
      </c>
      <c r="W5" s="26">
        <v>1</v>
      </c>
    </row>
    <row r="6" spans="1:23">
      <c r="A6" s="6" t="s">
        <v>17</v>
      </c>
      <c r="B6" s="6" t="s">
        <v>19</v>
      </c>
      <c r="C6" s="6" t="str">
        <f>IF(Table2[[#This Row],[Filter out of look-ups
'[Yes/No']]]="Yes","",Table2[[#This Row],[Project
'[Name']]])</f>
        <v/>
      </c>
      <c r="D6" s="16">
        <v>230002</v>
      </c>
      <c r="E6" s="16">
        <f>Table2[[#This Row],[Project ID
'[Number']]]</f>
        <v>230002</v>
      </c>
      <c r="F6" s="56"/>
      <c r="G6" s="47"/>
      <c r="H6" s="48" t="str">
        <f>IF(Table2[[#This Row],[Valid from (date)]]="","",(MONTH(G6)&amp;"-"&amp;YEAR(G6)))</f>
        <v/>
      </c>
      <c r="I6" s="15" t="s">
        <v>127</v>
      </c>
      <c r="J6" s="6" t="s">
        <v>22</v>
      </c>
      <c r="K6" s="14" t="str">
        <f>_xlfn.TEXTJOIN("-",TRUE,Table2[[#This Row],[Client
'[Name']]],Table2[[#This Row],[Budget ID
'[BID']]],Table2[[#This Row],[Ressource
'[Initials']]])</f>
        <v>RH Arkitekter-230002-MS</v>
      </c>
      <c r="L6" s="6">
        <v>900</v>
      </c>
      <c r="N6" s="6" t="s">
        <v>22</v>
      </c>
      <c r="O6" s="6">
        <f>$O$2</f>
        <v>160.33000000000001</v>
      </c>
      <c r="P6" s="6">
        <f>$P$2</f>
        <v>7.4</v>
      </c>
      <c r="Q6" s="8">
        <f>$Q$2</f>
        <v>0.85</v>
      </c>
      <c r="R6" s="34">
        <f>O6*Q6</f>
        <v>136.28050000000002</v>
      </c>
      <c r="T6" s="6" t="s">
        <v>37</v>
      </c>
      <c r="V6" s="29" t="s">
        <v>114</v>
      </c>
      <c r="W6" s="27">
        <v>2</v>
      </c>
    </row>
    <row r="7" spans="1:23">
      <c r="A7" s="6" t="s">
        <v>17</v>
      </c>
      <c r="B7" s="6" t="s">
        <v>19</v>
      </c>
      <c r="C7" s="6" t="str">
        <f>IF(Table2[[#This Row],[Filter out of look-ups
'[Yes/No']]]="Yes","",Table2[[#This Row],[Project
'[Name']]])</f>
        <v/>
      </c>
      <c r="D7" s="16">
        <v>230002</v>
      </c>
      <c r="E7" s="16">
        <f>Table2[[#This Row],[Project ID
'[Number']]]</f>
        <v>230002</v>
      </c>
      <c r="F7" s="56"/>
      <c r="G7" s="47"/>
      <c r="H7" s="48" t="str">
        <f>IF(Table2[[#This Row],[Valid from (date)]]="","",(MONTH(G7)&amp;"-"&amp;YEAR(G7)))</f>
        <v/>
      </c>
      <c r="I7" s="15" t="s">
        <v>127</v>
      </c>
      <c r="J7" s="6" t="s">
        <v>54</v>
      </c>
      <c r="K7" s="14" t="str">
        <f>_xlfn.TEXTJOIN("-",TRUE,Table2[[#This Row],[Client
'[Name']]],Table2[[#This Row],[Budget ID
'[BID']]],Table2[[#This Row],[Ressource
'[Initials']]])</f>
        <v>RH Arkitekter-230002-ML</v>
      </c>
      <c r="L7" s="6">
        <v>900</v>
      </c>
      <c r="N7" s="6" t="s">
        <v>54</v>
      </c>
      <c r="O7" s="6">
        <f>$O$2</f>
        <v>160.33000000000001</v>
      </c>
      <c r="P7" s="6">
        <f>$P$2</f>
        <v>7.4</v>
      </c>
      <c r="Q7" s="8">
        <f>$Q$2</f>
        <v>0.85</v>
      </c>
      <c r="R7" s="34">
        <f>O7*Q7</f>
        <v>136.28050000000002</v>
      </c>
      <c r="T7" s="6" t="s">
        <v>79</v>
      </c>
      <c r="V7" s="28" t="s">
        <v>115</v>
      </c>
      <c r="W7" s="26">
        <v>3</v>
      </c>
    </row>
    <row r="8" spans="1:23">
      <c r="A8" s="6" t="s">
        <v>14</v>
      </c>
      <c r="B8" s="6" t="s">
        <v>24</v>
      </c>
      <c r="C8" s="6" t="str">
        <f>IF(Table2[[#This Row],[Filter out of look-ups
'[Yes/No']]]="Yes","",Table2[[#This Row],[Project
'[Name']]])</f>
        <v>AstraZeneca</v>
      </c>
      <c r="D8" s="16">
        <v>230003</v>
      </c>
      <c r="E8" s="16">
        <f>Table2[[#This Row],[Project ID
'[Number']]]</f>
        <v>230003</v>
      </c>
      <c r="F8" s="56"/>
      <c r="G8" s="47"/>
      <c r="H8" s="48" t="str">
        <f>IF(Table2[[#This Row],[Valid from (date)]]="","",(MONTH(G8)&amp;"-"&amp;YEAR(G8)))</f>
        <v/>
      </c>
      <c r="I8" s="15"/>
      <c r="J8" s="6" t="s">
        <v>20</v>
      </c>
      <c r="K8" s="14" t="str">
        <f>_xlfn.TEXTJOIN("-",TRUE,Table2[[#This Row],[Client
'[Name']]],Table2[[#This Row],[Budget ID
'[BID']]],Table2[[#This Row],[Ressource
'[Initials']]])</f>
        <v>Labflex-230003-DS</v>
      </c>
      <c r="L8" s="6">
        <v>825</v>
      </c>
      <c r="N8" s="6" t="s">
        <v>152</v>
      </c>
      <c r="O8" s="6"/>
      <c r="P8" s="6"/>
      <c r="Q8" s="8"/>
      <c r="R8" s="34">
        <f>O8*Q8</f>
        <v>0</v>
      </c>
      <c r="T8" s="6" t="s">
        <v>38</v>
      </c>
      <c r="V8" s="29" t="s">
        <v>97</v>
      </c>
      <c r="W8" s="27">
        <v>4</v>
      </c>
    </row>
    <row r="9" spans="1:23">
      <c r="A9" s="6" t="s">
        <v>14</v>
      </c>
      <c r="B9" s="6" t="s">
        <v>24</v>
      </c>
      <c r="C9" s="6" t="str">
        <f>IF(Table2[[#This Row],[Filter out of look-ups
'[Yes/No']]]="Yes","",Table2[[#This Row],[Project
'[Name']]])</f>
        <v>AstraZeneca</v>
      </c>
      <c r="D9" s="16">
        <v>230003</v>
      </c>
      <c r="E9" s="16">
        <f>Table2[[#This Row],[Project ID
'[Number']]]</f>
        <v>230003</v>
      </c>
      <c r="F9" s="56"/>
      <c r="G9" s="47"/>
      <c r="H9" s="48" t="str">
        <f>IF(Table2[[#This Row],[Valid from (date)]]="","",(MONTH(G9)&amp;"-"&amp;YEAR(G9)))</f>
        <v/>
      </c>
      <c r="I9" s="15"/>
      <c r="J9" s="6" t="s">
        <v>22</v>
      </c>
      <c r="K9" s="14" t="str">
        <f>_xlfn.TEXTJOIN("-",TRUE,Table2[[#This Row],[Client
'[Name']]],Table2[[#This Row],[Budget ID
'[BID']]],Table2[[#This Row],[Ressource
'[Initials']]])</f>
        <v>Labflex-230003-MS</v>
      </c>
      <c r="L9" s="6">
        <v>825</v>
      </c>
      <c r="N9" s="6" t="s">
        <v>369</v>
      </c>
      <c r="O9" s="6">
        <f>$O$2</f>
        <v>160.33000000000001</v>
      </c>
      <c r="P9" s="174">
        <f>$P$2</f>
        <v>7.4</v>
      </c>
      <c r="Q9" s="8">
        <f>$Q$2</f>
        <v>0.85</v>
      </c>
      <c r="R9" s="34">
        <f>O9*Q9</f>
        <v>136.28050000000002</v>
      </c>
      <c r="T9" s="6" t="s">
        <v>39</v>
      </c>
      <c r="V9" s="28" t="s">
        <v>106</v>
      </c>
      <c r="W9" s="26">
        <v>5</v>
      </c>
    </row>
    <row r="10" spans="1:23">
      <c r="A10" s="6" t="s">
        <v>14</v>
      </c>
      <c r="B10" s="6" t="s">
        <v>24</v>
      </c>
      <c r="C10" s="6" t="str">
        <f>IF(Table2[[#This Row],[Filter out of look-ups
'[Yes/No']]]="Yes","",Table2[[#This Row],[Project
'[Name']]])</f>
        <v>AstraZeneca</v>
      </c>
      <c r="D10" s="16">
        <v>230003</v>
      </c>
      <c r="E10" s="16">
        <f>Table2[[#This Row],[Project ID
'[Number']]]</f>
        <v>230003</v>
      </c>
      <c r="F10" s="56"/>
      <c r="G10" s="47"/>
      <c r="H10" s="48" t="str">
        <f>IF(Table2[[#This Row],[Valid from (date)]]="","",(MONTH(G10)&amp;"-"&amp;YEAR(G10)))</f>
        <v/>
      </c>
      <c r="I10" s="15"/>
      <c r="J10" s="6" t="s">
        <v>54</v>
      </c>
      <c r="K10" s="14" t="str">
        <f>_xlfn.TEXTJOIN("-",TRUE,Table2[[#This Row],[Client
'[Name']]],Table2[[#This Row],[Budget ID
'[BID']]],Table2[[#This Row],[Ressource
'[Initials']]])</f>
        <v>Labflex-230003-ML</v>
      </c>
      <c r="L10" s="6">
        <v>825</v>
      </c>
      <c r="Q10" s="5"/>
      <c r="T10" s="6" t="s">
        <v>40</v>
      </c>
      <c r="V10" s="29" t="s">
        <v>110</v>
      </c>
      <c r="W10" s="27">
        <v>6</v>
      </c>
    </row>
    <row r="11" spans="1:23">
      <c r="A11" s="6" t="s">
        <v>16</v>
      </c>
      <c r="B11" s="6" t="s">
        <v>109</v>
      </c>
      <c r="C11" s="6" t="str">
        <f>IF(Table2[[#This Row],[Filter out of look-ups
'[Yes/No']]]="Yes","",Table2[[#This Row],[Project
'[Name']]])</f>
        <v>Scale-up production</v>
      </c>
      <c r="D11" s="16">
        <v>240009</v>
      </c>
      <c r="E11" s="16">
        <f>Table2[[#This Row],[Project ID
'[Number']]]</f>
        <v>240009</v>
      </c>
      <c r="F11" s="56"/>
      <c r="G11" s="47"/>
      <c r="H11" s="48" t="str">
        <f>IF(Table2[[#This Row],[Valid from (date)]]="","",(MONTH(G11)&amp;"-"&amp;YEAR(G11)))</f>
        <v/>
      </c>
      <c r="I11" s="15"/>
      <c r="J11" s="6" t="s">
        <v>22</v>
      </c>
      <c r="K11" s="14" t="str">
        <f>_xlfn.TEXTJOIN("-",TRUE,Table2[[#This Row],[Client
'[Name']]],Table2[[#This Row],[Budget ID
'[BID']]],Table2[[#This Row],[Ressource
'[Initials']]])</f>
        <v>EvodiaBio-240009-MS</v>
      </c>
      <c r="L11" s="6">
        <v>900</v>
      </c>
      <c r="Q11" s="5"/>
      <c r="T11" s="6" t="s">
        <v>41</v>
      </c>
      <c r="V11" s="28" t="s">
        <v>116</v>
      </c>
      <c r="W11" s="26">
        <v>7</v>
      </c>
    </row>
    <row r="12" spans="1:23">
      <c r="A12" s="6" t="s">
        <v>16</v>
      </c>
      <c r="B12" s="6" t="s">
        <v>109</v>
      </c>
      <c r="C12" s="6" t="str">
        <f>IF(Table2[[#This Row],[Filter out of look-ups
'[Yes/No']]]="Yes","",Table2[[#This Row],[Project
'[Name']]])</f>
        <v>Scale-up production</v>
      </c>
      <c r="D12" s="16">
        <v>240009</v>
      </c>
      <c r="E12" s="16">
        <f>Table2[[#This Row],[Project ID
'[Number']]]</f>
        <v>240009</v>
      </c>
      <c r="F12" s="56"/>
      <c r="G12" s="47"/>
      <c r="H12" s="48" t="str">
        <f>IF(Table2[[#This Row],[Valid from (date)]]="","",(MONTH(G12)&amp;"-"&amp;YEAR(G12)))</f>
        <v/>
      </c>
      <c r="I12" s="15"/>
      <c r="J12" s="6" t="s">
        <v>20</v>
      </c>
      <c r="K12" s="14" t="str">
        <f>_xlfn.TEXTJOIN("-",TRUE,Table2[[#This Row],[Client
'[Name']]],Table2[[#This Row],[Budget ID
'[BID']]],Table2[[#This Row],[Ressource
'[Initials']]])</f>
        <v>EvodiaBio-240009-DS</v>
      </c>
      <c r="L12" s="6">
        <v>900</v>
      </c>
      <c r="Q12" s="5"/>
      <c r="T12" s="6" t="s">
        <v>44</v>
      </c>
      <c r="V12" s="29" t="s">
        <v>117</v>
      </c>
      <c r="W12" s="27">
        <v>8</v>
      </c>
    </row>
    <row r="13" spans="1:23">
      <c r="A13" s="6" t="s">
        <v>16</v>
      </c>
      <c r="B13" s="6" t="s">
        <v>109</v>
      </c>
      <c r="C13" s="6" t="str">
        <f>IF(Table2[[#This Row],[Filter out of look-ups
'[Yes/No']]]="Yes","",Table2[[#This Row],[Project
'[Name']]])</f>
        <v>Scale-up production</v>
      </c>
      <c r="D13" s="16">
        <v>240009</v>
      </c>
      <c r="E13" s="16">
        <f>Table2[[#This Row],[Project ID
'[Number']]]</f>
        <v>240009</v>
      </c>
      <c r="F13" s="56"/>
      <c r="G13" s="47"/>
      <c r="H13" s="48" t="str">
        <f>IF(Table2[[#This Row],[Valid from (date)]]="","",(MONTH(G13)&amp;"-"&amp;YEAR(G13)))</f>
        <v/>
      </c>
      <c r="I13" s="15"/>
      <c r="J13" s="6" t="s">
        <v>54</v>
      </c>
      <c r="K13" s="14" t="str">
        <f>_xlfn.TEXTJOIN("-",TRUE,Table2[[#This Row],[Client
'[Name']]],Table2[[#This Row],[Budget ID
'[BID']]],Table2[[#This Row],[Ressource
'[Initials']]])</f>
        <v>EvodiaBio-240009-ML</v>
      </c>
      <c r="L13" s="6">
        <v>900</v>
      </c>
      <c r="T13" s="6" t="s">
        <v>45</v>
      </c>
      <c r="V13" s="28" t="s">
        <v>118</v>
      </c>
      <c r="W13" s="26">
        <v>9</v>
      </c>
    </row>
    <row r="14" spans="1:23">
      <c r="A14" s="6" t="s">
        <v>16</v>
      </c>
      <c r="B14" s="6" t="s">
        <v>109</v>
      </c>
      <c r="C14" s="6" t="str">
        <f>IF(Table2[[#This Row],[Filter out of look-ups
'[Yes/No']]]="Yes","",Table2[[#This Row],[Project
'[Name']]])</f>
        <v>Scale-up production</v>
      </c>
      <c r="D14" s="16">
        <v>240009</v>
      </c>
      <c r="E14" s="16" t="s">
        <v>123</v>
      </c>
      <c r="F14" s="56"/>
      <c r="G14" s="47">
        <v>45474</v>
      </c>
      <c r="H14" s="48" t="str">
        <f>IF(Table2[[#This Row],[Valid from (date)]]="","",(MONTH(G14)&amp;"-"&amp;YEAR(G14)))</f>
        <v>7-2024</v>
      </c>
      <c r="I14" s="15"/>
      <c r="J14" s="6" t="s">
        <v>20</v>
      </c>
      <c r="K14" s="14" t="str">
        <f>_xlfn.TEXTJOIN("-",TRUE,Table2[[#This Row],[Client
'[Name']]],Table2[[#This Row],[Budget ID
'[BID']]],Table2[[#This Row],[Ressource
'[Initials']]])</f>
        <v>EvodiaBio-240009-1-DS</v>
      </c>
      <c r="L14" s="6">
        <v>900</v>
      </c>
      <c r="T14" s="6" t="s">
        <v>46</v>
      </c>
      <c r="V14" s="58" t="s">
        <v>159</v>
      </c>
      <c r="W14" s="27">
        <v>10</v>
      </c>
    </row>
    <row r="15" spans="1:23">
      <c r="A15" s="6" t="s">
        <v>16</v>
      </c>
      <c r="B15" s="6" t="s">
        <v>109</v>
      </c>
      <c r="C15" s="167"/>
      <c r="D15" s="16">
        <v>240009</v>
      </c>
      <c r="E15" s="16" t="s">
        <v>123</v>
      </c>
      <c r="F15" s="56"/>
      <c r="G15" s="47">
        <v>45474</v>
      </c>
      <c r="H15" s="48" t="str">
        <f>IF(Table2[[#This Row],[Valid from (date)]]="","",(MONTH(G15)&amp;"-"&amp;YEAR(G15)))</f>
        <v>7-2024</v>
      </c>
      <c r="I15" s="15"/>
      <c r="J15" s="6" t="s">
        <v>54</v>
      </c>
      <c r="K15" s="14" t="str">
        <f>_xlfn.TEXTJOIN("-",TRUE,Table2[[#This Row],[Client
'[Name']]],Table2[[#This Row],[Budget ID
'[BID']]],Table2[[#This Row],[Ressource
'[Initials']]])</f>
        <v>EvodiaBio-240009-1-ML</v>
      </c>
      <c r="L15" s="6">
        <v>900</v>
      </c>
      <c r="T15" s="6" t="s">
        <v>73</v>
      </c>
      <c r="V15" s="28" t="s">
        <v>119</v>
      </c>
      <c r="W15" s="26">
        <v>11</v>
      </c>
    </row>
    <row r="16" spans="1:23">
      <c r="A16" s="6" t="s">
        <v>42</v>
      </c>
      <c r="B16" s="6" t="s">
        <v>56</v>
      </c>
      <c r="C16" s="6" t="str">
        <f>IF(Table2[[#This Row],[Filter out of look-ups
'[Yes/No']]]="Yes","",Table2[[#This Row],[Project
'[Name']]])</f>
        <v>QC Lab</v>
      </c>
      <c r="D16" s="16">
        <v>240004</v>
      </c>
      <c r="E16" s="16">
        <f>Table2[[#This Row],[Project ID
'[Number']]]</f>
        <v>240004</v>
      </c>
      <c r="F16" s="56"/>
      <c r="G16" s="47"/>
      <c r="H16" s="48" t="str">
        <f>IF(Table2[[#This Row],[Valid from (date)]]="","",(MONTH(G16)&amp;"-"&amp;YEAR(G16)))</f>
        <v/>
      </c>
      <c r="I16" s="15"/>
      <c r="J16" s="6" t="s">
        <v>22</v>
      </c>
      <c r="K16" s="14" t="str">
        <f>_xlfn.TEXTJOIN("-",TRUE,Table2[[#This Row],[Client
'[Name']]],Table2[[#This Row],[Budget ID
'[BID']]],Table2[[#This Row],[Ressource
'[Initials']]])</f>
        <v>AGC Biologics-240004-MS</v>
      </c>
      <c r="L16" s="6">
        <v>900</v>
      </c>
      <c r="T16" s="6" t="s">
        <v>142</v>
      </c>
      <c r="V16" s="32" t="s">
        <v>120</v>
      </c>
      <c r="W16" s="33">
        <v>12</v>
      </c>
    </row>
    <row r="17" spans="1:12">
      <c r="A17" s="6" t="s">
        <v>42</v>
      </c>
      <c r="B17" s="6" t="s">
        <v>56</v>
      </c>
      <c r="C17" s="6" t="str">
        <f>IF(Table2[[#This Row],[Filter out of look-ups
'[Yes/No']]]="Yes","",Table2[[#This Row],[Project
'[Name']]])</f>
        <v>QC Lab</v>
      </c>
      <c r="D17" s="16">
        <v>240004</v>
      </c>
      <c r="E17" s="16">
        <f>Table2[[#This Row],[Project ID
'[Number']]]</f>
        <v>240004</v>
      </c>
      <c r="F17" s="56"/>
      <c r="G17" s="47"/>
      <c r="H17" s="48" t="str">
        <f>IF(Table2[[#This Row],[Valid from (date)]]="","",(MONTH(G17)&amp;"-"&amp;YEAR(G17)))</f>
        <v/>
      </c>
      <c r="I17" s="15"/>
      <c r="J17" s="6" t="s">
        <v>54</v>
      </c>
      <c r="K17" s="14" t="str">
        <f>_xlfn.TEXTJOIN("-",TRUE,Table2[[#This Row],[Client
'[Name']]],Table2[[#This Row],[Budget ID
'[BID']]],Table2[[#This Row],[Ressource
'[Initials']]])</f>
        <v>AGC Biologics-240004-ML</v>
      </c>
      <c r="L17" s="6">
        <v>900</v>
      </c>
    </row>
    <row r="18" spans="1:12">
      <c r="A18" s="6" t="s">
        <v>48</v>
      </c>
      <c r="B18" s="6"/>
      <c r="C18" s="6" t="str">
        <f>IF(Table2[[#This Row],[Filter out of look-ups
'[Yes/No']]]="Yes","",Table2[[#This Row],[Project
'[Name']]])</f>
        <v/>
      </c>
      <c r="D18" s="16"/>
      <c r="E18" s="16"/>
      <c r="F18" s="56"/>
      <c r="G18" s="47"/>
      <c r="H18" s="48" t="str">
        <f>IF(Table2[[#This Row],[Valid from (date)]]="","",(MONTH(G18)&amp;"-"&amp;YEAR(G18)))</f>
        <v/>
      </c>
      <c r="I18" s="15" t="s">
        <v>127</v>
      </c>
      <c r="J18" s="6"/>
      <c r="K18" s="14" t="str">
        <f>_xlfn.TEXTJOIN("-",TRUE,Table2[[#This Row],[Client
'[Name']]],Table2[[#This Row],[Budget ID
'[BID']]],Table2[[#This Row],[Ressource
'[Initials']]])</f>
        <v>Driving / Kørsel</v>
      </c>
      <c r="L18" s="6">
        <v>0</v>
      </c>
    </row>
    <row r="19" spans="1:12">
      <c r="A19" s="6" t="s">
        <v>44</v>
      </c>
      <c r="B19" s="6"/>
      <c r="C19" s="6" t="str">
        <f>IF(Table2[[#This Row],[Filter out of look-ups
'[Yes/No']]]="Yes","",Table2[[#This Row],[Project
'[Name']]])</f>
        <v/>
      </c>
      <c r="D19" s="16"/>
      <c r="E19" s="16"/>
      <c r="F19" s="56"/>
      <c r="G19" s="47"/>
      <c r="H19" s="48" t="str">
        <f>IF(Table2[[#This Row],[Valid from (date)]]="","",(MONTH(G19)&amp;"-"&amp;YEAR(G19)))</f>
        <v/>
      </c>
      <c r="I19" s="15" t="s">
        <v>127</v>
      </c>
      <c r="J19" s="6"/>
      <c r="K19" s="14" t="str">
        <f>_xlfn.TEXTJOIN("-",TRUE,Table2[[#This Row],[Client
'[Name']]],Table2[[#This Row],[Budget ID
'[BID']]],Table2[[#This Row],[Ressource
'[Initials']]])</f>
        <v>Sales</v>
      </c>
      <c r="L19" s="6">
        <v>0</v>
      </c>
    </row>
    <row r="20" spans="1:12">
      <c r="A20" s="6" t="s">
        <v>52</v>
      </c>
      <c r="B20" s="6" t="s">
        <v>53</v>
      </c>
      <c r="C20" s="6" t="str">
        <f>IF(Table2[[#This Row],[Filter out of look-ups
'[Yes/No']]]="Yes","",Table2[[#This Row],[Project
'[Name']]])</f>
        <v>Dalux</v>
      </c>
      <c r="D20" s="16">
        <v>240002</v>
      </c>
      <c r="E20" s="16">
        <f>Table2[[#This Row],[Project ID
'[Number']]]</f>
        <v>240002</v>
      </c>
      <c r="F20" s="56"/>
      <c r="G20" s="47"/>
      <c r="H20" s="48" t="str">
        <f>IF(Table2[[#This Row],[Valid from (date)]]="","",(MONTH(G20)&amp;"-"&amp;YEAR(G20)))</f>
        <v/>
      </c>
      <c r="I20" s="15"/>
      <c r="J20" s="6" t="s">
        <v>54</v>
      </c>
      <c r="K20" s="14" t="str">
        <f>_xlfn.TEXTJOIN("-",TRUE,Table2[[#This Row],[Client
'[Name']]],Table2[[#This Row],[Budget ID
'[BID']]],Table2[[#This Row],[Ressource
'[Initials']]])</f>
        <v>Lab-Vent-240002-ML</v>
      </c>
      <c r="L20" s="6">
        <v>800</v>
      </c>
    </row>
    <row r="21" spans="1:12">
      <c r="A21" s="6" t="s">
        <v>17</v>
      </c>
      <c r="B21" s="6" t="s">
        <v>57</v>
      </c>
      <c r="C21" s="6" t="str">
        <f>IF(Table2[[#This Row],[Filter out of look-ups
'[Yes/No']]]="Yes","",Table2[[#This Row],[Project
'[Name']]])</f>
        <v>NN MAA A2</v>
      </c>
      <c r="D21" s="16">
        <v>230004</v>
      </c>
      <c r="E21" s="16">
        <f>Table2[[#This Row],[Project ID
'[Number']]]</f>
        <v>230004</v>
      </c>
      <c r="F21" s="56"/>
      <c r="G21" s="47"/>
      <c r="H21" s="48" t="str">
        <f>IF(Table2[[#This Row],[Valid from (date)]]="","",(MONTH(G21)&amp;"-"&amp;YEAR(G21)))</f>
        <v/>
      </c>
      <c r="I21" s="15"/>
      <c r="J21" s="6" t="s">
        <v>22</v>
      </c>
      <c r="K21" s="14" t="str">
        <f>_xlfn.TEXTJOIN("-",TRUE,Table2[[#This Row],[Client
'[Name']]],Table2[[#This Row],[Budget ID
'[BID']]],Table2[[#This Row],[Ressource
'[Initials']]])</f>
        <v>RH Arkitekter-230004-MS</v>
      </c>
      <c r="L21" s="6">
        <v>900</v>
      </c>
    </row>
    <row r="22" spans="1:12">
      <c r="A22" s="6" t="s">
        <v>52</v>
      </c>
      <c r="B22" s="6" t="s">
        <v>58</v>
      </c>
      <c r="C22" s="6" t="str">
        <f>IF(Table2[[#This Row],[Filter out of look-ups
'[Yes/No']]]="Yes","",Table2[[#This Row],[Project
'[Name']]])</f>
        <v>SDU SUND</v>
      </c>
      <c r="D22" s="16">
        <v>240001</v>
      </c>
      <c r="E22" s="16">
        <f>Table2[[#This Row],[Project ID
'[Number']]]</f>
        <v>240001</v>
      </c>
      <c r="F22" s="56"/>
      <c r="G22" s="47"/>
      <c r="H22" s="48" t="str">
        <f>IF(Table2[[#This Row],[Valid from (date)]]="","",(MONTH(G22)&amp;"-"&amp;YEAR(G22)))</f>
        <v/>
      </c>
      <c r="I22" s="15"/>
      <c r="J22" s="6" t="s">
        <v>22</v>
      </c>
      <c r="K22" s="14" t="str">
        <f>_xlfn.TEXTJOIN("-",TRUE,Table2[[#This Row],[Client
'[Name']]],Table2[[#This Row],[Budget ID
'[BID']]],Table2[[#This Row],[Ressource
'[Initials']]])</f>
        <v>Lab-Vent-240001-MS</v>
      </c>
      <c r="L22" s="6">
        <v>800</v>
      </c>
    </row>
    <row r="23" spans="1:12">
      <c r="A23" s="6" t="s">
        <v>52</v>
      </c>
      <c r="B23" s="6" t="s">
        <v>59</v>
      </c>
      <c r="C23" s="6" t="str">
        <f>IF(Table2[[#This Row],[Filter out of look-ups
'[Yes/No']]]="Yes","",Table2[[#This Row],[Project
'[Name']]])</f>
        <v>NN MAA F6</v>
      </c>
      <c r="D23" s="16">
        <v>240003</v>
      </c>
      <c r="E23" s="16">
        <f>Table2[[#This Row],[Project ID
'[Number']]]</f>
        <v>240003</v>
      </c>
      <c r="F23" s="56"/>
      <c r="G23" s="47"/>
      <c r="H23" s="48" t="str">
        <f>IF(Table2[[#This Row],[Valid from (date)]]="","",(MONTH(G23)&amp;"-"&amp;YEAR(G23)))</f>
        <v/>
      </c>
      <c r="I23" s="15"/>
      <c r="J23" s="6" t="s">
        <v>22</v>
      </c>
      <c r="K23" s="14" t="str">
        <f>_xlfn.TEXTJOIN("-",TRUE,Table2[[#This Row],[Client
'[Name']]],Table2[[#This Row],[Budget ID
'[BID']]],Table2[[#This Row],[Ressource
'[Initials']]])</f>
        <v>Lab-Vent-240003-MS</v>
      </c>
      <c r="L23" s="6">
        <v>800</v>
      </c>
    </row>
    <row r="24" spans="1:12">
      <c r="A24" s="6" t="s">
        <v>52</v>
      </c>
      <c r="B24" s="6" t="s">
        <v>53</v>
      </c>
      <c r="C24" s="6" t="str">
        <f>IF(Table2[[#This Row],[Filter out of look-ups
'[Yes/No']]]="Yes","",Table2[[#This Row],[Project
'[Name']]])</f>
        <v>Dalux</v>
      </c>
      <c r="D24" s="16">
        <v>240002</v>
      </c>
      <c r="E24" s="16">
        <f>Table2[[#This Row],[Project ID
'[Number']]]</f>
        <v>240002</v>
      </c>
      <c r="F24" s="56"/>
      <c r="G24" s="47"/>
      <c r="H24" s="48" t="str">
        <f>IF(Table2[[#This Row],[Valid from (date)]]="","",(MONTH(G24)&amp;"-"&amp;YEAR(G24)))</f>
        <v/>
      </c>
      <c r="I24" s="15"/>
      <c r="J24" s="6" t="s">
        <v>22</v>
      </c>
      <c r="K24" s="14" t="str">
        <f>_xlfn.TEXTJOIN("-",TRUE,Table2[[#This Row],[Client
'[Name']]],Table2[[#This Row],[Budget ID
'[BID']]],Table2[[#This Row],[Ressource
'[Initials']]])</f>
        <v>Lab-Vent-240002-MS</v>
      </c>
      <c r="L24" s="6">
        <v>800</v>
      </c>
    </row>
    <row r="25" spans="1:12">
      <c r="A25" s="6" t="s">
        <v>52</v>
      </c>
      <c r="B25" s="6" t="s">
        <v>58</v>
      </c>
      <c r="C25" s="6" t="str">
        <f>IF(Table2[[#This Row],[Filter out of look-ups
'[Yes/No']]]="Yes","",Table2[[#This Row],[Project
'[Name']]])</f>
        <v>SDU SUND</v>
      </c>
      <c r="D25" s="16">
        <v>240001</v>
      </c>
      <c r="E25" s="16">
        <f>Table2[[#This Row],[Project ID
'[Number']]]</f>
        <v>240001</v>
      </c>
      <c r="F25" s="56"/>
      <c r="G25" s="47"/>
      <c r="H25" s="48" t="str">
        <f>IF(Table2[[#This Row],[Valid from (date)]]="","",(MONTH(G25)&amp;"-"&amp;YEAR(G25)))</f>
        <v/>
      </c>
      <c r="I25" s="15"/>
      <c r="J25" s="6" t="s">
        <v>22</v>
      </c>
      <c r="K25" s="14" t="str">
        <f>_xlfn.TEXTJOIN("-",TRUE,Table2[[#This Row],[Client
'[Name']]],Table2[[#This Row],[Budget ID
'[BID']]],Table2[[#This Row],[Ressource
'[Initials']]])</f>
        <v>Lab-Vent-240001-MS</v>
      </c>
      <c r="L25" s="6">
        <v>800</v>
      </c>
    </row>
    <row r="26" spans="1:12">
      <c r="A26" s="6" t="s">
        <v>92</v>
      </c>
      <c r="B26" s="6" t="s">
        <v>93</v>
      </c>
      <c r="C26" s="6" t="str">
        <f>IF(Table2[[#This Row],[Filter out of look-ups
'[Yes/No']]]="Yes","",Table2[[#This Row],[Project
'[Name']]])</f>
        <v>CMC Expansion</v>
      </c>
      <c r="D26" s="16" t="s">
        <v>135</v>
      </c>
      <c r="E26" s="16" t="str">
        <f>Table2[[#This Row],[Project ID
'[Number']]]</f>
        <v>230002-1</v>
      </c>
      <c r="F26" s="56"/>
      <c r="G26" s="47"/>
      <c r="H26" s="48" t="str">
        <f>IF(Table2[[#This Row],[Valid from (date)]]="","",(MONTH(G26)&amp;"-"&amp;YEAR(G26)))</f>
        <v/>
      </c>
      <c r="I26" s="15"/>
      <c r="J26" s="6" t="s">
        <v>20</v>
      </c>
      <c r="K26" s="14" t="str">
        <f>_xlfn.TEXTJOIN("-",TRUE,Table2[[#This Row],[Client
'[Name']]],Table2[[#This Row],[Budget ID
'[BID']]],Table2[[#This Row],[Ressource
'[Initials']]])</f>
        <v>Novo Nordisk-230002-1-DS</v>
      </c>
      <c r="L26" s="6">
        <v>900</v>
      </c>
    </row>
    <row r="27" spans="1:12">
      <c r="A27" s="6" t="s">
        <v>92</v>
      </c>
      <c r="B27" s="6" t="s">
        <v>93</v>
      </c>
      <c r="C27" s="6" t="str">
        <f>IF(Table2[[#This Row],[Filter out of look-ups
'[Yes/No']]]="Yes","",Table2[[#This Row],[Project
'[Name']]])</f>
        <v>CMC Expansion</v>
      </c>
      <c r="D27" s="16" t="s">
        <v>135</v>
      </c>
      <c r="E27" s="16" t="str">
        <f>Table2[[#This Row],[Project ID
'[Number']]]</f>
        <v>230002-1</v>
      </c>
      <c r="F27" s="56"/>
      <c r="G27" s="47"/>
      <c r="H27" s="48" t="str">
        <f>IF(Table2[[#This Row],[Valid from (date)]]="","",(MONTH(G27)&amp;"-"&amp;YEAR(G27)))</f>
        <v/>
      </c>
      <c r="I27" s="15"/>
      <c r="J27" s="6" t="s">
        <v>22</v>
      </c>
      <c r="K27" s="14" t="str">
        <f>_xlfn.TEXTJOIN("-",TRUE,Table2[[#This Row],[Client
'[Name']]],Table2[[#This Row],[Budget ID
'[BID']]],Table2[[#This Row],[Ressource
'[Initials']]])</f>
        <v>Novo Nordisk-230002-1-MS</v>
      </c>
      <c r="L27" s="6">
        <v>900</v>
      </c>
    </row>
    <row r="28" spans="1:12">
      <c r="A28" s="6" t="s">
        <v>92</v>
      </c>
      <c r="B28" s="6" t="s">
        <v>93</v>
      </c>
      <c r="C28" s="6" t="str">
        <f>IF(Table2[[#This Row],[Filter out of look-ups
'[Yes/No']]]="Yes","",Table2[[#This Row],[Project
'[Name']]])</f>
        <v>CMC Expansion</v>
      </c>
      <c r="D28" s="16" t="s">
        <v>135</v>
      </c>
      <c r="E28" s="16" t="str">
        <f>Table2[[#This Row],[Project ID
'[Number']]]</f>
        <v>230002-1</v>
      </c>
      <c r="F28" s="56"/>
      <c r="G28" s="47"/>
      <c r="H28" s="48" t="str">
        <f>IF(Table2[[#This Row],[Valid from (date)]]="","",(MONTH(G28)&amp;"-"&amp;YEAR(G28)))</f>
        <v/>
      </c>
      <c r="I28" s="15"/>
      <c r="J28" s="6" t="s">
        <v>54</v>
      </c>
      <c r="K28" s="14" t="str">
        <f>_xlfn.TEXTJOIN("-",TRUE,Table2[[#This Row],[Client
'[Name']]],Table2[[#This Row],[Budget ID
'[BID']]],Table2[[#This Row],[Ressource
'[Initials']]])</f>
        <v>Novo Nordisk-230002-1-ML</v>
      </c>
      <c r="L28" s="6">
        <v>900</v>
      </c>
    </row>
    <row r="29" spans="1:12">
      <c r="A29" s="6" t="s">
        <v>52</v>
      </c>
      <c r="B29" s="6" t="s">
        <v>94</v>
      </c>
      <c r="C29" s="6" t="str">
        <f>IF(Table2[[#This Row],[Filter out of look-ups
'[Yes/No']]]="Yes","",Table2[[#This Row],[Project
'[Name']]])</f>
        <v>Foulum</v>
      </c>
      <c r="D29" s="16">
        <v>240010</v>
      </c>
      <c r="E29" s="16">
        <f>Table2[[#This Row],[Project ID
'[Number']]]</f>
        <v>240010</v>
      </c>
      <c r="F29" s="56"/>
      <c r="G29" s="47"/>
      <c r="H29" s="48" t="str">
        <f>IF(Table2[[#This Row],[Valid from (date)]]="","",(MONTH(G29)&amp;"-"&amp;YEAR(G29)))</f>
        <v/>
      </c>
      <c r="I29" s="15"/>
      <c r="J29" s="6" t="s">
        <v>54</v>
      </c>
      <c r="K29" s="14" t="str">
        <f>_xlfn.TEXTJOIN("-",TRUE,Table2[[#This Row],[Client
'[Name']]],Table2[[#This Row],[Budget ID
'[BID']]],Table2[[#This Row],[Ressource
'[Initials']]])</f>
        <v>Lab-Vent-240010-ML</v>
      </c>
      <c r="L29" s="6">
        <v>800</v>
      </c>
    </row>
    <row r="30" spans="1:12">
      <c r="A30" s="6" t="s">
        <v>17</v>
      </c>
      <c r="B30" s="6" t="s">
        <v>95</v>
      </c>
      <c r="C30" s="6" t="str">
        <f>IF(Table2[[#This Row],[Filter out of look-ups
'[Yes/No']]]="Yes","",Table2[[#This Row],[Project
'[Name']]])</f>
        <v>NN MAA FULA</v>
      </c>
      <c r="D30" s="16">
        <v>240005</v>
      </c>
      <c r="E30" s="16">
        <f>Table2[[#This Row],[Project ID
'[Number']]]</f>
        <v>240005</v>
      </c>
      <c r="F30" s="56"/>
      <c r="G30" s="47"/>
      <c r="H30" s="48" t="str">
        <f>IF(Table2[[#This Row],[Valid from (date)]]="","",(MONTH(G30)&amp;"-"&amp;YEAR(G30)))</f>
        <v/>
      </c>
      <c r="I30" s="15"/>
      <c r="J30" s="6" t="s">
        <v>20</v>
      </c>
      <c r="K30" s="14" t="str">
        <f>_xlfn.TEXTJOIN("-",TRUE,Table2[[#This Row],[Client
'[Name']]],Table2[[#This Row],[Budget ID
'[BID']]],Table2[[#This Row],[Ressource
'[Initials']]])</f>
        <v>RH Arkitekter-240005-DS</v>
      </c>
      <c r="L30" s="6">
        <v>900</v>
      </c>
    </row>
    <row r="31" spans="1:12">
      <c r="A31" s="6" t="s">
        <v>17</v>
      </c>
      <c r="B31" s="6" t="s">
        <v>95</v>
      </c>
      <c r="C31" s="6" t="str">
        <f>IF(Table2[[#This Row],[Filter out of look-ups
'[Yes/No']]]="Yes","",Table2[[#This Row],[Project
'[Name']]])</f>
        <v>NN MAA FULA</v>
      </c>
      <c r="D31" s="16">
        <v>240005</v>
      </c>
      <c r="E31" s="16">
        <f>Table2[[#This Row],[Project ID
'[Number']]]</f>
        <v>240005</v>
      </c>
      <c r="F31" s="56"/>
      <c r="G31" s="47"/>
      <c r="H31" s="48" t="str">
        <f>IF(Table2[[#This Row],[Valid from (date)]]="","",(MONTH(G31)&amp;"-"&amp;YEAR(G31)))</f>
        <v/>
      </c>
      <c r="I31" s="15"/>
      <c r="J31" s="6" t="s">
        <v>22</v>
      </c>
      <c r="K31" s="14" t="str">
        <f>_xlfn.TEXTJOIN("-",TRUE,Table2[[#This Row],[Client
'[Name']]],Table2[[#This Row],[Budget ID
'[BID']]],Table2[[#This Row],[Ressource
'[Initials']]])</f>
        <v>RH Arkitekter-240005-MS</v>
      </c>
      <c r="L31" s="6">
        <v>900</v>
      </c>
    </row>
    <row r="32" spans="1:12">
      <c r="A32" s="6" t="s">
        <v>17</v>
      </c>
      <c r="B32" s="6" t="s">
        <v>95</v>
      </c>
      <c r="C32" s="6" t="str">
        <f>IF(Table2[[#This Row],[Filter out of look-ups
'[Yes/No']]]="Yes","",Table2[[#This Row],[Project
'[Name']]])</f>
        <v>NN MAA FULA</v>
      </c>
      <c r="D32" s="16">
        <v>240005</v>
      </c>
      <c r="E32" s="16">
        <f>Table2[[#This Row],[Project ID
'[Number']]]</f>
        <v>240005</v>
      </c>
      <c r="F32" s="56"/>
      <c r="G32" s="47"/>
      <c r="H32" s="48" t="str">
        <f>IF(Table2[[#This Row],[Valid from (date)]]="","",(MONTH(G32)&amp;"-"&amp;YEAR(G32)))</f>
        <v/>
      </c>
      <c r="I32" s="15"/>
      <c r="J32" s="6" t="s">
        <v>54</v>
      </c>
      <c r="K32" s="14" t="str">
        <f>_xlfn.TEXTJOIN("-",TRUE,Table2[[#This Row],[Client
'[Name']]],Table2[[#This Row],[Budget ID
'[BID']]],Table2[[#This Row],[Ressource
'[Initials']]])</f>
        <v>RH Arkitekter-240005-ML</v>
      </c>
      <c r="L32" s="6">
        <v>900</v>
      </c>
    </row>
    <row r="33" spans="1:12">
      <c r="A33" s="6" t="s">
        <v>17</v>
      </c>
      <c r="B33" s="6" t="s">
        <v>95</v>
      </c>
      <c r="C33" s="167" t="str">
        <f>IF(Table2[[#This Row],[Filter out of look-ups
'[Yes/No']]]="Yes","",Table2[[#This Row],[Project
'[Name']]])</f>
        <v>NN MAA FULA</v>
      </c>
      <c r="D33" s="168">
        <v>240005</v>
      </c>
      <c r="E33" s="16" t="s">
        <v>146</v>
      </c>
      <c r="F33" s="56" t="s">
        <v>148</v>
      </c>
      <c r="G33" s="169"/>
      <c r="H33" s="170" t="str">
        <f>IF(Table2[[#This Row],[Valid from (date)]]="","",(MONTH(G33)&amp;"-"&amp;YEAR(G33)))</f>
        <v/>
      </c>
      <c r="I33" s="171"/>
      <c r="J33" s="6" t="s">
        <v>22</v>
      </c>
      <c r="K33" s="172" t="str">
        <f>_xlfn.TEXTJOIN("-",TRUE,Table2[[#This Row],[Client
'[Name']]],Table2[[#This Row],[Budget ID
'[BID']]],Table2[[#This Row],[Ressource
'[Initials']]])</f>
        <v>RH Arkitekter-240005-1-MS</v>
      </c>
      <c r="L33" s="6">
        <v>900</v>
      </c>
    </row>
    <row r="34" spans="1:12">
      <c r="A34" s="6" t="s">
        <v>17</v>
      </c>
      <c r="B34" s="6" t="s">
        <v>95</v>
      </c>
      <c r="C34" s="167" t="str">
        <f>IF(Table2[[#This Row],[Filter out of look-ups
'[Yes/No']]]="Yes","",Table2[[#This Row],[Project
'[Name']]])</f>
        <v>NN MAA FULA</v>
      </c>
      <c r="D34" s="168">
        <v>240005</v>
      </c>
      <c r="E34" s="16" t="s">
        <v>146</v>
      </c>
      <c r="F34" s="56" t="s">
        <v>148</v>
      </c>
      <c r="G34" s="169"/>
      <c r="H34" s="170" t="str">
        <f>IF(Table2[[#This Row],[Valid from (date)]]="","",(MONTH(G34)&amp;"-"&amp;YEAR(G34)))</f>
        <v/>
      </c>
      <c r="I34" s="171"/>
      <c r="J34" s="6" t="s">
        <v>20</v>
      </c>
      <c r="K34" s="172" t="str">
        <f>_xlfn.TEXTJOIN("-",TRUE,Table2[[#This Row],[Client
'[Name']]],Table2[[#This Row],[Budget ID
'[BID']]],Table2[[#This Row],[Ressource
'[Initials']]])</f>
        <v>RH Arkitekter-240005-1-DS</v>
      </c>
      <c r="L34" s="6">
        <v>900</v>
      </c>
    </row>
    <row r="35" spans="1:12">
      <c r="A35" s="6" t="s">
        <v>17</v>
      </c>
      <c r="B35" s="6" t="s">
        <v>95</v>
      </c>
      <c r="C35" s="167" t="str">
        <f>IF(Table2[[#This Row],[Filter out of look-ups
'[Yes/No']]]="Yes","",Table2[[#This Row],[Project
'[Name']]])</f>
        <v>NN MAA FULA</v>
      </c>
      <c r="D35" s="168">
        <v>240005</v>
      </c>
      <c r="E35" s="16" t="s">
        <v>146</v>
      </c>
      <c r="F35" s="56" t="s">
        <v>148</v>
      </c>
      <c r="G35" s="169"/>
      <c r="H35" s="170" t="str">
        <f>IF(Table2[[#This Row],[Valid from (date)]]="","",(MONTH(G35)&amp;"-"&amp;YEAR(G35)))</f>
        <v/>
      </c>
      <c r="I35" s="171"/>
      <c r="J35" s="6" t="s">
        <v>54</v>
      </c>
      <c r="K35" s="172" t="str">
        <f>_xlfn.TEXTJOIN("-",TRUE,Table2[[#This Row],[Client
'[Name']]],Table2[[#This Row],[Budget ID
'[BID']]],Table2[[#This Row],[Ressource
'[Initials']]])</f>
        <v>RH Arkitekter-240005-1-ML</v>
      </c>
      <c r="L35" s="6">
        <v>900</v>
      </c>
    </row>
    <row r="36" spans="1:12">
      <c r="A36" s="6" t="s">
        <v>52</v>
      </c>
      <c r="B36" s="6" t="s">
        <v>96</v>
      </c>
      <c r="C36" s="6" t="str">
        <f>IF(Table2[[#This Row],[Filter out of look-ups
'[Yes/No']]]="Yes","",Table2[[#This Row],[Project
'[Name']]])</f>
        <v>DTU 223 + 224</v>
      </c>
      <c r="D36" s="16">
        <v>240011</v>
      </c>
      <c r="E36" s="16">
        <f>Table2[[#This Row],[Project ID
'[Number']]]</f>
        <v>240011</v>
      </c>
      <c r="F36" s="56"/>
      <c r="G36" s="47"/>
      <c r="H36" s="48" t="str">
        <f>IF(Table2[[#This Row],[Valid from (date)]]="","",(MONTH(G36)&amp;"-"&amp;YEAR(G36)))</f>
        <v/>
      </c>
      <c r="I36" s="15"/>
      <c r="J36" s="6" t="s">
        <v>54</v>
      </c>
      <c r="K36" s="14" t="str">
        <f>_xlfn.TEXTJOIN("-",TRUE,Table2[[#This Row],[Client
'[Name']]],Table2[[#This Row],[Budget ID
'[BID']]],Table2[[#This Row],[Ressource
'[Initials']]])</f>
        <v>Lab-Vent-240011-ML</v>
      </c>
      <c r="L36" s="6">
        <v>800</v>
      </c>
    </row>
    <row r="37" spans="1:12">
      <c r="A37" s="6" t="s">
        <v>52</v>
      </c>
      <c r="B37" s="6" t="s">
        <v>96</v>
      </c>
      <c r="C37" s="6" t="str">
        <f>IF(Table2[[#This Row],[Filter out of look-ups
'[Yes/No']]]="Yes","",Table2[[#This Row],[Project
'[Name']]])</f>
        <v>DTU 223 + 224</v>
      </c>
      <c r="D37" s="16">
        <v>240011</v>
      </c>
      <c r="E37" s="16">
        <f>Table2[[#This Row],[Project ID
'[Number']]]</f>
        <v>240011</v>
      </c>
      <c r="F37" s="56"/>
      <c r="G37" s="47"/>
      <c r="H37" s="48" t="str">
        <f>IF(Table2[[#This Row],[Valid from (date)]]="","",(MONTH(G37)&amp;"-"&amp;YEAR(G37)))</f>
        <v/>
      </c>
      <c r="I37" s="15"/>
      <c r="J37" s="6" t="s">
        <v>22</v>
      </c>
      <c r="K37" s="14" t="str">
        <f>_xlfn.TEXTJOIN("-",TRUE,Table2[[#This Row],[Client
'[Name']]],Table2[[#This Row],[Budget ID
'[BID']]],Table2[[#This Row],[Ressource
'[Initials']]])</f>
        <v>Lab-Vent-240011-MS</v>
      </c>
      <c r="L37" s="6">
        <v>800</v>
      </c>
    </row>
    <row r="38" spans="1:12">
      <c r="A38" s="6" t="s">
        <v>52</v>
      </c>
      <c r="B38" s="6" t="s">
        <v>102</v>
      </c>
      <c r="C38" s="6" t="str">
        <f>IF(Table2[[#This Row],[Filter out of look-ups
'[Yes/No']]]="Yes","",Table2[[#This Row],[Project
'[Name']]])</f>
        <v>AAU Fibigerstræde</v>
      </c>
      <c r="D38" s="16">
        <v>240012</v>
      </c>
      <c r="E38" s="16">
        <f>Table2[[#This Row],[Project ID
'[Number']]]</f>
        <v>240012</v>
      </c>
      <c r="F38" s="56"/>
      <c r="G38" s="47"/>
      <c r="H38" s="48" t="str">
        <f>IF(Table2[[#This Row],[Valid from (date)]]="","",(MONTH(G38)&amp;"-"&amp;YEAR(G38)))</f>
        <v/>
      </c>
      <c r="I38" s="15"/>
      <c r="J38" s="6" t="s">
        <v>54</v>
      </c>
      <c r="K38" s="14" t="str">
        <f>_xlfn.TEXTJOIN("-",TRUE,Table2[[#This Row],[Client
'[Name']]],Table2[[#This Row],[Budget ID
'[BID']]],Table2[[#This Row],[Ressource
'[Initials']]])</f>
        <v>Lab-Vent-240012-ML</v>
      </c>
      <c r="L38" s="6">
        <v>800</v>
      </c>
    </row>
    <row r="39" spans="1:12">
      <c r="A39" s="6" t="s">
        <v>107</v>
      </c>
      <c r="B39" s="6" t="s">
        <v>130</v>
      </c>
      <c r="C39" s="6" t="str">
        <f>IF(Table2[[#This Row],[Filter out of look-ups
'[Yes/No']]]="Yes","",Table2[[#This Row],[Project
'[Name']]])</f>
        <v>Zystem - Various</v>
      </c>
      <c r="D39" s="16">
        <v>240013</v>
      </c>
      <c r="E39" s="16">
        <f>Table2[[#This Row],[Project ID
'[Number']]]</f>
        <v>240013</v>
      </c>
      <c r="F39" s="56"/>
      <c r="G39" s="47"/>
      <c r="H39" s="48" t="str">
        <f>IF(Table2[[#This Row],[Valid from (date)]]="","",(MONTH(G39)&amp;"-"&amp;YEAR(G39)))</f>
        <v/>
      </c>
      <c r="I39" s="15"/>
      <c r="J39" s="6" t="s">
        <v>54</v>
      </c>
      <c r="K39" s="14" t="str">
        <f>_xlfn.TEXTJOIN("-",TRUE,Table2[[#This Row],[Client
'[Name']]],Table2[[#This Row],[Budget ID
'[BID']]],Table2[[#This Row],[Ressource
'[Initials']]])</f>
        <v>Zystm-240013-ML</v>
      </c>
      <c r="L39" s="6">
        <v>850</v>
      </c>
    </row>
    <row r="40" spans="1:12">
      <c r="A40" s="6" t="s">
        <v>108</v>
      </c>
      <c r="B40" s="6" t="s">
        <v>131</v>
      </c>
      <c r="C40" s="6" t="str">
        <f>IF(Table2[[#This Row],[Filter out of look-ups
'[Yes/No']]]="Yes","",Table2[[#This Row],[Project
'[Name']]])</f>
        <v>ST - Various</v>
      </c>
      <c r="D40" s="16">
        <v>240014</v>
      </c>
      <c r="E40" s="16">
        <f>Table2[[#This Row],[Project ID
'[Number']]]</f>
        <v>240014</v>
      </c>
      <c r="F40" s="56"/>
      <c r="G40" s="47"/>
      <c r="H40" s="48" t="str">
        <f>IF(Table2[[#This Row],[Valid from (date)]]="","",(MONTH(G40)&amp;"-"&amp;YEAR(G40)))</f>
        <v/>
      </c>
      <c r="I40" s="15"/>
      <c r="J40" s="6" t="s">
        <v>54</v>
      </c>
      <c r="K40" s="14" t="str">
        <f>_xlfn.TEXTJOIN("-",TRUE,Table2[[#This Row],[Client
'[Name']]],Table2[[#This Row],[Budget ID
'[BID']]],Table2[[#This Row],[Ressource
'[Initials']]])</f>
        <v>ST Skoleinventar-240014-ML</v>
      </c>
      <c r="L40" s="6">
        <v>850</v>
      </c>
    </row>
    <row r="41" spans="1:12">
      <c r="A41" s="6" t="s">
        <v>14</v>
      </c>
      <c r="B41" s="6" t="s">
        <v>122</v>
      </c>
      <c r="C41" s="6" t="str">
        <f>IF(Table2[[#This Row],[Filter out of look-ups
'[Yes/No']]]="Yes","",Table2[[#This Row],[Project
'[Name']]])</f>
        <v>AZ - HE2</v>
      </c>
      <c r="D41" s="16">
        <v>230003</v>
      </c>
      <c r="E41" s="16">
        <f>Table2[[#This Row],[Project ID
'[Number']]]</f>
        <v>230003</v>
      </c>
      <c r="F41" s="56"/>
      <c r="G41" s="47"/>
      <c r="H41" s="48" t="str">
        <f>IF(Table2[[#This Row],[Valid from (date)]]="","",(MONTH(G41)&amp;"-"&amp;YEAR(G41)))</f>
        <v/>
      </c>
      <c r="I41" s="15"/>
      <c r="J41" s="6" t="s">
        <v>22</v>
      </c>
      <c r="K41" s="14" t="str">
        <f>_xlfn.TEXTJOIN("-",TRUE,Table2[[#This Row],[Client
'[Name']]],Table2[[#This Row],[Budget ID
'[BID']]],Table2[[#This Row],[Ressource
'[Initials']]])</f>
        <v>Labflex-230003-MS</v>
      </c>
      <c r="L41" s="6">
        <v>825</v>
      </c>
    </row>
    <row r="42" spans="1:12">
      <c r="A42" s="6" t="s">
        <v>137</v>
      </c>
      <c r="B42" s="6" t="s">
        <v>138</v>
      </c>
      <c r="C42" s="6" t="str">
        <f>IF(Table2[[#This Row],[Filter out of look-ups
'[Yes/No']]]="Yes","",Table2[[#This Row],[Project
'[Name']]])</f>
        <v>Lab showroom</v>
      </c>
      <c r="D42" s="16">
        <v>240015</v>
      </c>
      <c r="E42" s="16">
        <v>240015</v>
      </c>
      <c r="F42" s="56"/>
      <c r="G42" s="47"/>
      <c r="H42" s="48" t="str">
        <f>IF(Table2[[#This Row],[Valid from (date)]]="","",(MONTH(G42)&amp;"-"&amp;YEAR(G42)))</f>
        <v/>
      </c>
      <c r="I42" s="15"/>
      <c r="J42" s="6" t="s">
        <v>22</v>
      </c>
      <c r="K42" s="14" t="str">
        <f>_xlfn.TEXTJOIN("-",TRUE,Table2[[#This Row],[Client
'[Name']]],Table2[[#This Row],[Budget ID
'[BID']]],Table2[[#This Row],[Ressource
'[Initials']]])</f>
        <v>Reshape Biotech-240015-MS</v>
      </c>
      <c r="L42" s="6">
        <v>900</v>
      </c>
    </row>
    <row r="43" spans="1:12">
      <c r="A43" s="6" t="s">
        <v>92</v>
      </c>
      <c r="B43" s="6" t="s">
        <v>139</v>
      </c>
      <c r="C43" s="167" t="str">
        <f>IF(Table2[[#This Row],[Filter out of look-ups
'[Yes/No']]]="Yes","",Table2[[#This Row],[Project
'[Name']]])</f>
        <v>M1</v>
      </c>
      <c r="D43" s="168">
        <v>240017</v>
      </c>
      <c r="E43" s="168">
        <v>240017</v>
      </c>
      <c r="F43" s="173"/>
      <c r="G43" s="169"/>
      <c r="H43" s="170" t="str">
        <f>IF(Table2[[#This Row],[Valid from (date)]]="","",(MONTH(G43)&amp;"-"&amp;YEAR(G43)))</f>
        <v/>
      </c>
      <c r="I43" s="171"/>
      <c r="J43" s="6" t="s">
        <v>22</v>
      </c>
      <c r="K43" s="172" t="str">
        <f>_xlfn.TEXTJOIN("-",TRUE,Table2[[#This Row],[Client
'[Name']]],Table2[[#This Row],[Budget ID
'[BID']]],Table2[[#This Row],[Ressource
'[Initials']]])</f>
        <v>Novo Nordisk-240017-MS</v>
      </c>
      <c r="L43" s="6">
        <v>900</v>
      </c>
    </row>
    <row r="44" spans="1:12">
      <c r="A44" s="6" t="s">
        <v>92</v>
      </c>
      <c r="B44" s="6" t="s">
        <v>139</v>
      </c>
      <c r="C44" s="167" t="str">
        <f>IF(Table2[[#This Row],[Filter out of look-ups
'[Yes/No']]]="Yes","",Table2[[#This Row],[Project
'[Name']]])</f>
        <v>M1</v>
      </c>
      <c r="D44" s="168">
        <v>240017</v>
      </c>
      <c r="E44" s="168">
        <v>240017</v>
      </c>
      <c r="F44" s="173"/>
      <c r="G44" s="169"/>
      <c r="H44" s="170" t="str">
        <f>IF(Table2[[#This Row],[Valid from (date)]]="","",(MONTH(G44)&amp;"-"&amp;YEAR(G44)))</f>
        <v/>
      </c>
      <c r="I44" s="171"/>
      <c r="J44" s="6" t="s">
        <v>20</v>
      </c>
      <c r="K44" s="172" t="str">
        <f>_xlfn.TEXTJOIN("-",TRUE,Table2[[#This Row],[Client
'[Name']]],Table2[[#This Row],[Budget ID
'[BID']]],Table2[[#This Row],[Ressource
'[Initials']]])</f>
        <v>Novo Nordisk-240017-DS</v>
      </c>
      <c r="L44" s="6">
        <v>900</v>
      </c>
    </row>
    <row r="45" spans="1:12">
      <c r="A45" s="6" t="s">
        <v>92</v>
      </c>
      <c r="B45" s="6" t="s">
        <v>139</v>
      </c>
      <c r="C45" s="167" t="str">
        <f>IF(Table2[[#This Row],[Filter out of look-ups
'[Yes/No']]]="Yes","",Table2[[#This Row],[Project
'[Name']]])</f>
        <v>M1</v>
      </c>
      <c r="D45" s="168">
        <v>240017</v>
      </c>
      <c r="E45" s="168">
        <v>240017</v>
      </c>
      <c r="F45" s="173"/>
      <c r="G45" s="169"/>
      <c r="H45" s="170" t="str">
        <f>IF(Table2[[#This Row],[Valid from (date)]]="","",(MONTH(G45)&amp;"-"&amp;YEAR(G45)))</f>
        <v/>
      </c>
      <c r="I45" s="171"/>
      <c r="J45" s="6" t="s">
        <v>54</v>
      </c>
      <c r="K45" s="172" t="str">
        <f>_xlfn.TEXTJOIN("-",TRUE,Table2[[#This Row],[Client
'[Name']]],Table2[[#This Row],[Budget ID
'[BID']]],Table2[[#This Row],[Ressource
'[Initials']]])</f>
        <v>Novo Nordisk-240017-ML</v>
      </c>
      <c r="L45" s="6">
        <v>900</v>
      </c>
    </row>
    <row r="46" spans="1:12">
      <c r="A46" s="50" t="s">
        <v>140</v>
      </c>
      <c r="B46" s="50" t="s">
        <v>141</v>
      </c>
      <c r="C46" s="50" t="str">
        <f>IF(Table2[[#This Row],[Filter out of look-ups
'[Yes/No']]]="Yes","",Table2[[#This Row],[Project
'[Name']]])</f>
        <v>TI BTC</v>
      </c>
      <c r="D46" s="51">
        <v>240016</v>
      </c>
      <c r="E46" s="51">
        <v>240016</v>
      </c>
      <c r="F46" s="57"/>
      <c r="G46" s="52"/>
      <c r="H46" s="53" t="str">
        <f>IF(Table2[[#This Row],[Valid from (date)]]="","",(MONTH(G46)&amp;"-"&amp;YEAR(G46)))</f>
        <v/>
      </c>
      <c r="I46" s="54"/>
      <c r="J46" s="6" t="s">
        <v>22</v>
      </c>
      <c r="K46" s="55" t="str">
        <f>_xlfn.TEXTJOIN("-",TRUE,Table2[[#This Row],[Client
'[Name']]],Table2[[#This Row],[Budget ID
'[BID']]],Table2[[#This Row],[Ressource
'[Initials']]])</f>
        <v>AFRY-240016-MS</v>
      </c>
      <c r="L46" s="6">
        <v>0</v>
      </c>
    </row>
    <row r="47" spans="1:12">
      <c r="A47" s="6" t="s">
        <v>143</v>
      </c>
      <c r="B47" s="6" t="s">
        <v>144</v>
      </c>
      <c r="C47" s="50" t="str">
        <f>IF(Table2[[#This Row],[Filter out of look-ups
'[Yes/No']]]="Yes","",Table2[[#This Row],[Project
'[Name']]])</f>
        <v>PD &amp; QC Lab</v>
      </c>
      <c r="D47" s="51">
        <v>240018</v>
      </c>
      <c r="E47" s="51">
        <v>240018</v>
      </c>
      <c r="F47" s="57"/>
      <c r="G47" s="52"/>
      <c r="H47" s="53" t="str">
        <f>IF(Table2[[#This Row],[Valid from (date)]]="","",(MONTH(G47)&amp;"-"&amp;YEAR(G47)))</f>
        <v/>
      </c>
      <c r="I47" s="54"/>
      <c r="J47" s="6" t="s">
        <v>22</v>
      </c>
      <c r="K47" s="55" t="str">
        <f>_xlfn.TEXTJOIN("-",TRUE,Table2[[#This Row],[Client
'[Name']]],Table2[[#This Row],[Budget ID
'[BID']]],Table2[[#This Row],[Ressource
'[Initials']]])</f>
        <v>CCRM-240018-MS</v>
      </c>
      <c r="L47" s="6">
        <v>900</v>
      </c>
    </row>
    <row r="48" spans="1:12">
      <c r="A48" s="6" t="s">
        <v>143</v>
      </c>
      <c r="B48" s="6" t="s">
        <v>144</v>
      </c>
      <c r="C48" s="50" t="str">
        <f>IF(Table2[[#This Row],[Filter out of look-ups
'[Yes/No']]]="Yes","",Table2[[#This Row],[Project
'[Name']]])</f>
        <v>PD &amp; QC Lab</v>
      </c>
      <c r="D48" s="51">
        <v>240018</v>
      </c>
      <c r="E48" s="51">
        <v>240018</v>
      </c>
      <c r="F48" s="57"/>
      <c r="G48" s="52"/>
      <c r="H48" s="53" t="str">
        <f>IF(Table2[[#This Row],[Valid from (date)]]="","",(MONTH(G48)&amp;"-"&amp;YEAR(G48)))</f>
        <v/>
      </c>
      <c r="I48" s="54"/>
      <c r="J48" s="6" t="s">
        <v>54</v>
      </c>
      <c r="K48" s="55" t="str">
        <f>_xlfn.TEXTJOIN("-",TRUE,Table2[[#This Row],[Client
'[Name']]],Table2[[#This Row],[Budget ID
'[BID']]],Table2[[#This Row],[Ressource
'[Initials']]])</f>
        <v>CCRM-240018-ML</v>
      </c>
      <c r="L48" s="6">
        <v>900</v>
      </c>
    </row>
    <row r="49" spans="1:12">
      <c r="A49" s="6" t="s">
        <v>143</v>
      </c>
      <c r="B49" s="6" t="s">
        <v>144</v>
      </c>
      <c r="C49" s="50" t="str">
        <f>IF(Table2[[#This Row],[Filter out of look-ups
'[Yes/No']]]="Yes","",Table2[[#This Row],[Project
'[Name']]])</f>
        <v>PD &amp; QC Lab</v>
      </c>
      <c r="D49" s="51">
        <v>240018</v>
      </c>
      <c r="E49" s="51">
        <v>240018</v>
      </c>
      <c r="F49" s="57"/>
      <c r="G49" s="52"/>
      <c r="H49" s="53" t="str">
        <f>IF(Table2[[#This Row],[Valid from (date)]]="","",(MONTH(G49)&amp;"-"&amp;YEAR(G49)))</f>
        <v/>
      </c>
      <c r="I49" s="54"/>
      <c r="J49" s="6" t="s">
        <v>152</v>
      </c>
      <c r="K49" s="55" t="str">
        <f>_xlfn.TEXTJOIN("-",TRUE,Table2[[#This Row],[Client
'[Name']]],Table2[[#This Row],[Budget ID
'[BID']]],Table2[[#This Row],[Ressource
'[Initials']]])</f>
        <v>CCRM-240018-BIM Mgnt.</v>
      </c>
      <c r="L49" s="6">
        <v>900</v>
      </c>
    </row>
    <row r="50" spans="1:12">
      <c r="A50" s="167" t="s">
        <v>143</v>
      </c>
      <c r="B50" s="167" t="s">
        <v>144</v>
      </c>
      <c r="C50" s="50" t="str">
        <f>IF(Table2[[#This Row],[Filter out of look-ups
'[Yes/No']]]="Yes","",Table2[[#This Row],[Project
'[Name']]])</f>
        <v>PD &amp; QC Lab</v>
      </c>
      <c r="D50" s="51">
        <v>240018</v>
      </c>
      <c r="E50" s="51">
        <v>240018</v>
      </c>
      <c r="F50" s="57"/>
      <c r="G50" s="52"/>
      <c r="H50" s="53" t="str">
        <f>IF(Table2[[#This Row],[Valid from (date)]]="","",(MONTH(G50)&amp;"-"&amp;YEAR(G50)))</f>
        <v/>
      </c>
      <c r="I50" s="54"/>
      <c r="J50" s="6" t="s">
        <v>20</v>
      </c>
      <c r="K50" s="55" t="str">
        <f>_xlfn.TEXTJOIN("-",TRUE,Table2[[#This Row],[Client
'[Name']]],Table2[[#This Row],[Budget ID
'[BID']]],Table2[[#This Row],[Ressource
'[Initials']]])</f>
        <v>CCRM-240018-DS</v>
      </c>
      <c r="L50" s="6">
        <v>900</v>
      </c>
    </row>
    <row r="51" spans="1:12">
      <c r="A51" s="6" t="s">
        <v>92</v>
      </c>
      <c r="B51" s="6" t="s">
        <v>145</v>
      </c>
      <c r="C51" s="50" t="str">
        <f>IF(Table2[[#This Row],[Filter out of look-ups
'[Yes/No']]]="Yes","",Table2[[#This Row],[Project
'[Name']]])</f>
        <v>Ox Exp</v>
      </c>
      <c r="D51" s="51">
        <v>240019</v>
      </c>
      <c r="E51" s="51">
        <v>240019</v>
      </c>
      <c r="F51" s="57"/>
      <c r="G51" s="52"/>
      <c r="H51" s="53" t="str">
        <f>IF(Table2[[#This Row],[Valid from (date)]]="","",(MONTH(G51)&amp;"-"&amp;YEAR(G51)))</f>
        <v/>
      </c>
      <c r="I51" s="54"/>
      <c r="J51" s="6" t="s">
        <v>22</v>
      </c>
      <c r="K51" s="55" t="str">
        <f>_xlfn.TEXTJOIN("-",TRUE,Table2[[#This Row],[Client
'[Name']]],Table2[[#This Row],[Budget ID
'[BID']]],Table2[[#This Row],[Ressource
'[Initials']]])</f>
        <v>Novo Nordisk-240019-MS</v>
      </c>
      <c r="L51" s="6">
        <v>900</v>
      </c>
    </row>
    <row r="52" spans="1:12">
      <c r="A52" s="6" t="s">
        <v>92</v>
      </c>
      <c r="B52" s="6" t="s">
        <v>145</v>
      </c>
      <c r="C52" s="50" t="str">
        <f>IF(Table2[[#This Row],[Filter out of look-ups
'[Yes/No']]]="Yes","",Table2[[#This Row],[Project
'[Name']]])</f>
        <v>Ox Exp</v>
      </c>
      <c r="D52" s="51">
        <v>240019</v>
      </c>
      <c r="E52" s="51">
        <v>240019</v>
      </c>
      <c r="F52" s="57"/>
      <c r="G52" s="52"/>
      <c r="H52" s="53" t="str">
        <f>IF(Table2[[#This Row],[Valid from (date)]]="","",(MONTH(G52)&amp;"-"&amp;YEAR(G52)))</f>
        <v/>
      </c>
      <c r="I52" s="54"/>
      <c r="J52" s="6" t="s">
        <v>20</v>
      </c>
      <c r="K52" s="55" t="str">
        <f>_xlfn.TEXTJOIN("-",TRUE,Table2[[#This Row],[Client
'[Name']]],Table2[[#This Row],[Budget ID
'[BID']]],Table2[[#This Row],[Ressource
'[Initials']]])</f>
        <v>Novo Nordisk-240019-DS</v>
      </c>
      <c r="L52" s="6">
        <v>900</v>
      </c>
    </row>
    <row r="53" spans="1:12">
      <c r="A53" s="6" t="s">
        <v>92</v>
      </c>
      <c r="B53" s="6" t="s">
        <v>145</v>
      </c>
      <c r="C53" s="50" t="str">
        <f>IF(Table2[[#This Row],[Filter out of look-ups
'[Yes/No']]]="Yes","",Table2[[#This Row],[Project
'[Name']]])</f>
        <v>Ox Exp</v>
      </c>
      <c r="D53" s="51">
        <v>240019</v>
      </c>
      <c r="E53" s="51">
        <v>240019</v>
      </c>
      <c r="F53" s="57"/>
      <c r="G53" s="52"/>
      <c r="H53" s="53" t="str">
        <f>IF(Table2[[#This Row],[Valid from (date)]]="","",(MONTH(G53)&amp;"-"&amp;YEAR(G53)))</f>
        <v/>
      </c>
      <c r="I53" s="54"/>
      <c r="J53" s="6" t="s">
        <v>54</v>
      </c>
      <c r="K53" s="55" t="str">
        <f>_xlfn.TEXTJOIN("-",TRUE,Table2[[#This Row],[Client
'[Name']]],Table2[[#This Row],[Budget ID
'[BID']]],Table2[[#This Row],[Ressource
'[Initials']]])</f>
        <v>Novo Nordisk-240019-ML</v>
      </c>
      <c r="L53" s="6">
        <v>900</v>
      </c>
    </row>
    <row r="54" spans="1:12">
      <c r="A54" s="167" t="s">
        <v>92</v>
      </c>
      <c r="B54" s="167" t="s">
        <v>150</v>
      </c>
      <c r="C54" s="50" t="str">
        <f>IF(Table2[[#This Row],[Filter out of look-ups
'[Yes/No']]]="Yes","",Table2[[#This Row],[Project
'[Name']]])</f>
        <v>CMC Leo</v>
      </c>
      <c r="D54" s="51">
        <v>240020</v>
      </c>
      <c r="E54" s="51">
        <v>240020</v>
      </c>
      <c r="F54" s="57"/>
      <c r="G54" s="52"/>
      <c r="H54" s="53" t="str">
        <f>IF(Table2[[#This Row],[Valid from (date)]]="","",(MONTH(G54)&amp;"-"&amp;YEAR(G54)))</f>
        <v/>
      </c>
      <c r="I54" s="54"/>
      <c r="J54" s="6" t="s">
        <v>22</v>
      </c>
      <c r="K54" s="55" t="str">
        <f>_xlfn.TEXTJOIN("-",TRUE,Table2[[#This Row],[Client
'[Name']]],Table2[[#This Row],[Budget ID
'[BID']]],Table2[[#This Row],[Ressource
'[Initials']]])</f>
        <v>Novo Nordisk-240020-MS</v>
      </c>
      <c r="L54" s="6">
        <v>900</v>
      </c>
    </row>
    <row r="55" spans="1:12">
      <c r="A55" s="6" t="s">
        <v>92</v>
      </c>
      <c r="B55" s="6" t="s">
        <v>150</v>
      </c>
      <c r="C55" s="50" t="str">
        <f>IF(Table2[[#This Row],[Filter out of look-ups
'[Yes/No']]]="Yes","",Table2[[#This Row],[Project
'[Name']]])</f>
        <v>CMC Leo</v>
      </c>
      <c r="D55" s="51">
        <v>240020</v>
      </c>
      <c r="E55" s="51">
        <v>240020</v>
      </c>
      <c r="F55" s="57"/>
      <c r="G55" s="52"/>
      <c r="H55" s="53" t="str">
        <f>IF(Table2[[#This Row],[Valid from (date)]]="","",(MONTH(G55)&amp;"-"&amp;YEAR(G55)))</f>
        <v/>
      </c>
      <c r="I55" s="54"/>
      <c r="J55" s="6" t="s">
        <v>20</v>
      </c>
      <c r="K55" s="55" t="str">
        <f>_xlfn.TEXTJOIN("-",TRUE,Table2[[#This Row],[Client
'[Name']]],Table2[[#This Row],[Budget ID
'[BID']]],Table2[[#This Row],[Ressource
'[Initials']]])</f>
        <v>Novo Nordisk-240020-DS</v>
      </c>
      <c r="L55" s="6">
        <v>900</v>
      </c>
    </row>
    <row r="56" spans="1:12">
      <c r="A56" s="6" t="s">
        <v>92</v>
      </c>
      <c r="B56" s="6" t="s">
        <v>150</v>
      </c>
      <c r="C56" s="50" t="str">
        <f>IF(Table2[[#This Row],[Filter out of look-ups
'[Yes/No']]]="Yes","",Table2[[#This Row],[Project
'[Name']]])</f>
        <v>CMC Leo</v>
      </c>
      <c r="D56" s="51">
        <v>240020</v>
      </c>
      <c r="E56" s="51">
        <v>240020</v>
      </c>
      <c r="F56" s="57"/>
      <c r="G56" s="52"/>
      <c r="H56" s="53" t="str">
        <f>IF(Table2[[#This Row],[Valid from (date)]]="","",(MONTH(G56)&amp;"-"&amp;YEAR(G56)))</f>
        <v/>
      </c>
      <c r="I56" s="54"/>
      <c r="J56" s="6" t="s">
        <v>54</v>
      </c>
      <c r="K56" s="55" t="str">
        <f>_xlfn.TEXTJOIN("-",TRUE,Table2[[#This Row],[Client
'[Name']]],Table2[[#This Row],[Budget ID
'[BID']]],Table2[[#This Row],[Ressource
'[Initials']]])</f>
        <v>Novo Nordisk-240020-ML</v>
      </c>
      <c r="L56" s="6">
        <v>900</v>
      </c>
    </row>
    <row r="57" spans="1:12">
      <c r="A57" s="6" t="s">
        <v>107</v>
      </c>
      <c r="B57" s="6" t="s">
        <v>153</v>
      </c>
      <c r="C57" s="50" t="str">
        <f>IF(Table2[[#This Row],[Filter out of look-ups
'[Yes/No']]]="Yes","",Table2[[#This Row],[Project
'[Name']]])</f>
        <v>Orion (P475)</v>
      </c>
      <c r="D57" s="51">
        <v>240021</v>
      </c>
      <c r="E57" s="168">
        <v>240021</v>
      </c>
      <c r="F57" s="173"/>
      <c r="G57" s="52"/>
      <c r="H57" s="53" t="str">
        <f>IF(Table2[[#This Row],[Valid from (date)]]="","",(MONTH(G57)&amp;"-"&amp;YEAR(G57)))</f>
        <v/>
      </c>
      <c r="I57" s="54"/>
      <c r="J57" s="6" t="s">
        <v>54</v>
      </c>
      <c r="K57" s="55" t="str">
        <f>_xlfn.TEXTJOIN("-",TRUE,Table2[[#This Row],[Client
'[Name']]],Table2[[#This Row],[Budget ID
'[BID']]],Table2[[#This Row],[Ressource
'[Initials']]])</f>
        <v>Zystm-240021-ML</v>
      </c>
      <c r="L57" s="6">
        <v>850</v>
      </c>
    </row>
    <row r="58" spans="1:12">
      <c r="A58" s="167" t="s">
        <v>107</v>
      </c>
      <c r="B58" s="167" t="s">
        <v>154</v>
      </c>
      <c r="C58" s="50" t="str">
        <f>IF(Table2[[#This Row],[Filter out of look-ups
'[Yes/No']]]="Yes","",Table2[[#This Row],[Project
'[Name']]])</f>
        <v>Milkyway (P572)</v>
      </c>
      <c r="D58" s="51">
        <v>240022</v>
      </c>
      <c r="E58" s="168">
        <v>240022</v>
      </c>
      <c r="F58" s="173"/>
      <c r="G58" s="52"/>
      <c r="H58" s="53" t="str">
        <f>IF(Table2[[#This Row],[Valid from (date)]]="","",(MONTH(G58)&amp;"-"&amp;YEAR(G58)))</f>
        <v/>
      </c>
      <c r="I58" s="54"/>
      <c r="J58" s="6" t="s">
        <v>54</v>
      </c>
      <c r="K58" s="55" t="str">
        <f>_xlfn.TEXTJOIN("-",TRUE,Table2[[#This Row],[Client
'[Name']]],Table2[[#This Row],[Budget ID
'[BID']]],Table2[[#This Row],[Ressource
'[Initials']]])</f>
        <v>Zystm-240022-ML</v>
      </c>
      <c r="L58" s="6">
        <v>850</v>
      </c>
    </row>
    <row r="59" spans="1:12">
      <c r="A59" s="6" t="s">
        <v>92</v>
      </c>
      <c r="B59" s="6" t="s">
        <v>139</v>
      </c>
      <c r="C59" s="50" t="str">
        <f>IF(Table2[[#This Row],[Filter out of look-ups
'[Yes/No']]]="Yes","",Table2[[#This Row],[Project
'[Name']]])</f>
        <v>M1</v>
      </c>
      <c r="D59" s="51">
        <v>240017</v>
      </c>
      <c r="E59" s="168" t="s">
        <v>149</v>
      </c>
      <c r="F59" s="57"/>
      <c r="G59" s="52"/>
      <c r="H59" s="53" t="str">
        <f>IF(Table2[[#This Row],[Valid from (date)]]="","",(MONTH(G59)&amp;"-"&amp;YEAR(G59)))</f>
        <v/>
      </c>
      <c r="I59" s="54"/>
      <c r="J59" s="6" t="s">
        <v>22</v>
      </c>
      <c r="K59" s="55" t="str">
        <f>_xlfn.TEXTJOIN("-",TRUE,Table2[[#This Row],[Client
'[Name']]],Table2[[#This Row],[Budget ID
'[BID']]],Table2[[#This Row],[Ressource
'[Initials']]])</f>
        <v>Novo Nordisk-240017-1-MS</v>
      </c>
      <c r="L59" s="6">
        <v>900</v>
      </c>
    </row>
    <row r="60" spans="1:12">
      <c r="A60" s="6" t="s">
        <v>92</v>
      </c>
      <c r="B60" s="6" t="s">
        <v>139</v>
      </c>
      <c r="C60" s="50" t="str">
        <f>IF(Table2[[#This Row],[Filter out of look-ups
'[Yes/No']]]="Yes","",Table2[[#This Row],[Project
'[Name']]])</f>
        <v>M1</v>
      </c>
      <c r="D60" s="51">
        <v>240017</v>
      </c>
      <c r="E60" s="168" t="s">
        <v>149</v>
      </c>
      <c r="F60" s="57"/>
      <c r="G60" s="52"/>
      <c r="H60" s="53" t="str">
        <f>IF(Table2[[#This Row],[Valid from (date)]]="","",(MONTH(G60)&amp;"-"&amp;YEAR(G60)))</f>
        <v/>
      </c>
      <c r="I60" s="54"/>
      <c r="J60" s="6" t="s">
        <v>20</v>
      </c>
      <c r="K60" s="55" t="str">
        <f>_xlfn.TEXTJOIN("-",TRUE,Table2[[#This Row],[Client
'[Name']]],Table2[[#This Row],[Budget ID
'[BID']]],Table2[[#This Row],[Ressource
'[Initials']]])</f>
        <v>Novo Nordisk-240017-1-DS</v>
      </c>
      <c r="L60" s="6">
        <v>900</v>
      </c>
    </row>
    <row r="61" spans="1:12">
      <c r="A61" s="6" t="s">
        <v>92</v>
      </c>
      <c r="B61" s="6" t="s">
        <v>139</v>
      </c>
      <c r="C61" s="50" t="str">
        <f>IF(Table2[[#This Row],[Filter out of look-ups
'[Yes/No']]]="Yes","",Table2[[#This Row],[Project
'[Name']]])</f>
        <v>M1</v>
      </c>
      <c r="D61" s="51">
        <v>240017</v>
      </c>
      <c r="E61" s="168" t="s">
        <v>149</v>
      </c>
      <c r="F61" s="57"/>
      <c r="G61" s="52"/>
      <c r="H61" s="53" t="str">
        <f>IF(Table2[[#This Row],[Valid from (date)]]="","",(MONTH(G61)&amp;"-"&amp;YEAR(G61)))</f>
        <v/>
      </c>
      <c r="I61" s="54"/>
      <c r="J61" s="6" t="s">
        <v>54</v>
      </c>
      <c r="K61" s="55" t="str">
        <f>_xlfn.TEXTJOIN("-",TRUE,Table2[[#This Row],[Client
'[Name']]],Table2[[#This Row],[Budget ID
'[BID']]],Table2[[#This Row],[Ressource
'[Initials']]])</f>
        <v>Novo Nordisk-240017-1-ML</v>
      </c>
      <c r="L61" s="6">
        <v>900</v>
      </c>
    </row>
    <row r="62" spans="1:12">
      <c r="A62" s="167" t="s">
        <v>14</v>
      </c>
      <c r="B62" s="167" t="s">
        <v>151</v>
      </c>
      <c r="C62" s="167" t="str">
        <f>IF(Table2[[#This Row],[Filter out of look-ups
'[Yes/No']]]="Yes","",Table2[[#This Row],[Project
'[Name']]])</f>
        <v>AZ - Sales (Caverion)</v>
      </c>
      <c r="D62" s="168">
        <v>240021</v>
      </c>
      <c r="E62" s="168"/>
      <c r="F62" s="173"/>
      <c r="G62" s="169"/>
      <c r="H62" s="170" t="str">
        <f>IF(Table2[[#This Row],[Valid from (date)]]="","",(MONTH(G62)&amp;"-"&amp;YEAR(G62)))</f>
        <v/>
      </c>
      <c r="I62" s="171"/>
      <c r="J62" s="6"/>
      <c r="K62" s="172" t="str">
        <f>_xlfn.TEXTJOIN("-",TRUE,Table2[[#This Row],[Client
'[Name']]],Table2[[#This Row],[Budget ID
'[BID']]],Table2[[#This Row],[Ressource
'[Initials']]])</f>
        <v>Labflex</v>
      </c>
      <c r="L62" s="6"/>
    </row>
    <row r="63" spans="1:12">
      <c r="A63" s="6" t="s">
        <v>107</v>
      </c>
      <c r="B63" s="6" t="s">
        <v>155</v>
      </c>
      <c r="C63" s="167" t="str">
        <f>IF(Table2[[#This Row],[Filter out of look-ups
'[Yes/No']]]="Yes","",Table2[[#This Row],[Project
'[Name']]])</f>
        <v>Northstar (P522)</v>
      </c>
      <c r="D63" s="168">
        <v>240023</v>
      </c>
      <c r="E63" s="168">
        <v>240023</v>
      </c>
      <c r="F63" s="173"/>
      <c r="G63" s="169"/>
      <c r="H63" s="170" t="str">
        <f>IF(Table2[[#This Row],[Valid from (date)]]="","",(MONTH(G63)&amp;"-"&amp;YEAR(G63)))</f>
        <v/>
      </c>
      <c r="I63" s="171"/>
      <c r="J63" s="6" t="s">
        <v>54</v>
      </c>
      <c r="K63" s="172" t="str">
        <f>_xlfn.TEXTJOIN("-",TRUE,Table2[[#This Row],[Client
'[Name']]],Table2[[#This Row],[Budget ID
'[BID']]],Table2[[#This Row],[Ressource
'[Initials']]])</f>
        <v>Zystm-240023-ML</v>
      </c>
      <c r="L63" s="6">
        <v>850</v>
      </c>
    </row>
    <row r="64" spans="1:12">
      <c r="A64" s="6" t="s">
        <v>107</v>
      </c>
      <c r="B64" s="6" t="s">
        <v>156</v>
      </c>
      <c r="C64" s="167" t="str">
        <f>IF(Table2[[#This Row],[Filter out of look-ups
'[Yes/No']]]="Yes","",Table2[[#This Row],[Project
'[Name']]])</f>
        <v>Zystm Intern</v>
      </c>
      <c r="D64" s="168">
        <v>240024</v>
      </c>
      <c r="E64" s="168">
        <v>240024</v>
      </c>
      <c r="F64" s="173"/>
      <c r="G64" s="169"/>
      <c r="H64" s="170" t="str">
        <f>IF(Table2[[#This Row],[Valid from (date)]]="","",(MONTH(G64)&amp;"-"&amp;YEAR(G64)))</f>
        <v/>
      </c>
      <c r="I64" s="171"/>
      <c r="J64" s="6" t="s">
        <v>54</v>
      </c>
      <c r="K64" s="172" t="str">
        <f>_xlfn.TEXTJOIN("-",TRUE,Table2[[#This Row],[Client
'[Name']]],Table2[[#This Row],[Budget ID
'[BID']]],Table2[[#This Row],[Ressource
'[Initials']]])</f>
        <v>Zystm-240024-ML</v>
      </c>
      <c r="L64" s="6">
        <v>850</v>
      </c>
    </row>
    <row r="65" spans="1:12">
      <c r="A65" s="6" t="s">
        <v>157</v>
      </c>
      <c r="B65" s="6" t="s">
        <v>58</v>
      </c>
      <c r="C65" s="50" t="str">
        <f>IF(Table2[[#This Row],[Filter out of look-ups
'[Yes/No']]]="Yes","",Table2[[#This Row],[Project
'[Name']]])</f>
        <v>SDU SUND</v>
      </c>
      <c r="D65" s="168"/>
      <c r="E65" s="168"/>
      <c r="F65" s="173"/>
      <c r="G65" s="169"/>
      <c r="H65" s="170" t="str">
        <f>IF(Table2[[#This Row],[Valid from (date)]]="","",(MONTH(G65)&amp;"-"&amp;YEAR(G65)))</f>
        <v/>
      </c>
      <c r="I65" s="171"/>
      <c r="J65" s="6"/>
      <c r="K65" s="172" t="str">
        <f>_xlfn.TEXTJOIN("-",TRUE,Table2[[#This Row],[Client
'[Name']]],Table2[[#This Row],[Budget ID
'[BID']]],Table2[[#This Row],[Ressource
'[Initials']]])</f>
        <v>Syddansk Universitet</v>
      </c>
      <c r="L65" s="6"/>
    </row>
    <row r="66" spans="1:12">
      <c r="A66" s="167" t="s">
        <v>92</v>
      </c>
      <c r="B66" s="167" t="s">
        <v>139</v>
      </c>
      <c r="C66" s="167" t="str">
        <f>IF(Table2[[#This Row],[Filter out of look-ups
'[Yes/No']]]="Yes","",Table2[[#This Row],[Project
'[Name']]])</f>
        <v>M1</v>
      </c>
      <c r="D66" s="168">
        <v>240017</v>
      </c>
      <c r="E66" s="168" t="s">
        <v>201</v>
      </c>
      <c r="F66" s="173" t="s">
        <v>202</v>
      </c>
      <c r="G66" s="169"/>
      <c r="H66" s="170" t="str">
        <f>IF(Table2[[#This Row],[Valid from (date)]]="","",(MONTH(G66)&amp;"-"&amp;YEAR(G66)))</f>
        <v/>
      </c>
      <c r="I66" s="171"/>
      <c r="J66" s="6" t="s">
        <v>54</v>
      </c>
      <c r="K66" s="172" t="str">
        <f>_xlfn.TEXTJOIN("-",TRUE,Table2[[#This Row],[Client
'[Name']]],Table2[[#This Row],[Budget ID
'[BID']]],Table2[[#This Row],[Ressource
'[Initials']]])</f>
        <v>Novo Nordisk-240017-2-ML</v>
      </c>
      <c r="L66" s="6">
        <v>900</v>
      </c>
    </row>
    <row r="67" spans="1:12">
      <c r="A67" s="167" t="s">
        <v>92</v>
      </c>
      <c r="B67" s="167" t="s">
        <v>139</v>
      </c>
      <c r="C67" s="167" t="str">
        <f>IF(Table2[[#This Row],[Filter out of look-ups
'[Yes/No']]]="Yes","",Table2[[#This Row],[Project
'[Name']]])</f>
        <v>M1</v>
      </c>
      <c r="D67" s="168">
        <v>240017</v>
      </c>
      <c r="E67" s="168" t="s">
        <v>201</v>
      </c>
      <c r="F67" s="173" t="s">
        <v>202</v>
      </c>
      <c r="G67" s="169"/>
      <c r="H67" s="170" t="str">
        <f>IF(Table2[[#This Row],[Valid from (date)]]="","",(MONTH(G67)&amp;"-"&amp;YEAR(G67)))</f>
        <v/>
      </c>
      <c r="I67" s="171"/>
      <c r="J67" s="6" t="s">
        <v>22</v>
      </c>
      <c r="K67" s="172" t="str">
        <f>_xlfn.TEXTJOIN("-",TRUE,Table2[[#This Row],[Client
'[Name']]],Table2[[#This Row],[Budget ID
'[BID']]],Table2[[#This Row],[Ressource
'[Initials']]])</f>
        <v>Novo Nordisk-240017-2-MS</v>
      </c>
      <c r="L67" s="6">
        <v>900</v>
      </c>
    </row>
    <row r="68" spans="1:12">
      <c r="A68" s="6" t="s">
        <v>92</v>
      </c>
      <c r="B68" s="6" t="s">
        <v>208</v>
      </c>
      <c r="C68" s="167" t="str">
        <f>IF(Table2[[#This Row],[Filter out of look-ups
'[Yes/No']]]="Yes","",Table2[[#This Row],[Project
'[Name']]])</f>
        <v>NN CMC ELEXT (Leo)</v>
      </c>
      <c r="D68" s="168">
        <v>250101</v>
      </c>
      <c r="E68" s="168">
        <v>250101</v>
      </c>
      <c r="F68" s="173" t="s">
        <v>203</v>
      </c>
      <c r="G68" s="169"/>
      <c r="H68" s="170" t="str">
        <f>IF(Table2[[#This Row],[Valid from (date)]]="","",(MONTH(G68)&amp;"-"&amp;YEAR(G68)))</f>
        <v/>
      </c>
      <c r="I68" s="171"/>
      <c r="J68" s="6" t="s">
        <v>22</v>
      </c>
      <c r="K68" s="172" t="str">
        <f>_xlfn.TEXTJOIN("-",TRUE,Table2[[#This Row],[Client
'[Name']]],Table2[[#This Row],[Budget ID
'[BID']]],Table2[[#This Row],[Ressource
'[Initials']]])</f>
        <v>Novo Nordisk-250101-MS</v>
      </c>
      <c r="L68" s="6">
        <v>900</v>
      </c>
    </row>
    <row r="69" spans="1:12">
      <c r="A69" s="167" t="s">
        <v>92</v>
      </c>
      <c r="B69" s="167" t="s">
        <v>208</v>
      </c>
      <c r="C69" s="167" t="str">
        <f>IF(Table2[[#This Row],[Filter out of look-ups
'[Yes/No']]]="Yes","",Table2[[#This Row],[Project
'[Name']]])</f>
        <v>NN CMC ELEXT (Leo)</v>
      </c>
      <c r="D69" s="168">
        <v>250101</v>
      </c>
      <c r="E69" s="168">
        <v>250101</v>
      </c>
      <c r="F69" s="173" t="s">
        <v>203</v>
      </c>
      <c r="G69" s="169"/>
      <c r="H69" s="170" t="str">
        <f>IF(Table2[[#This Row],[Valid from (date)]]="","",(MONTH(G69)&amp;"-"&amp;YEAR(G69)))</f>
        <v/>
      </c>
      <c r="I69" s="171"/>
      <c r="J69" s="167" t="s">
        <v>20</v>
      </c>
      <c r="K69" s="172" t="str">
        <f>_xlfn.TEXTJOIN("-",TRUE,Table2[[#This Row],[Client
'[Name']]],Table2[[#This Row],[Budget ID
'[BID']]],Table2[[#This Row],[Ressource
'[Initials']]])</f>
        <v>Novo Nordisk-250101-DS</v>
      </c>
      <c r="L69" s="6">
        <v>900</v>
      </c>
    </row>
    <row r="70" spans="1:12">
      <c r="A70" s="6" t="s">
        <v>92</v>
      </c>
      <c r="B70" s="6" t="s">
        <v>208</v>
      </c>
      <c r="C70" s="167" t="str">
        <f>IF(Table2[[#This Row],[Filter out of look-ups
'[Yes/No']]]="Yes","",Table2[[#This Row],[Project
'[Name']]])</f>
        <v>NN CMC ELEXT (Leo)</v>
      </c>
      <c r="D70" s="168">
        <v>250101</v>
      </c>
      <c r="E70" s="168">
        <v>250101</v>
      </c>
      <c r="F70" s="173" t="s">
        <v>203</v>
      </c>
      <c r="G70" s="169"/>
      <c r="H70" s="170" t="str">
        <f>IF(Table2[[#This Row],[Valid from (date)]]="","",(MONTH(G70)&amp;"-"&amp;YEAR(G70)))</f>
        <v/>
      </c>
      <c r="I70" s="171"/>
      <c r="J70" s="6" t="s">
        <v>54</v>
      </c>
      <c r="K70" s="172" t="str">
        <f>_xlfn.TEXTJOIN("-",TRUE,Table2[[#This Row],[Client
'[Name']]],Table2[[#This Row],[Budget ID
'[BID']]],Table2[[#This Row],[Ressource
'[Initials']]])</f>
        <v>Novo Nordisk-250101-ML</v>
      </c>
      <c r="L70" s="6">
        <v>900</v>
      </c>
    </row>
    <row r="71" spans="1:12">
      <c r="A71" s="6" t="s">
        <v>92</v>
      </c>
      <c r="B71" s="6" t="s">
        <v>139</v>
      </c>
      <c r="C71" s="167" t="str">
        <f>IF(Table2[[#This Row],[Filter out of look-ups
'[Yes/No']]]="Yes","",Table2[[#This Row],[Project
'[Name']]])</f>
        <v>M1</v>
      </c>
      <c r="D71" s="168">
        <v>240017</v>
      </c>
      <c r="E71" s="168" t="s">
        <v>210</v>
      </c>
      <c r="F71" s="173" t="s">
        <v>211</v>
      </c>
      <c r="G71" s="169"/>
      <c r="H71" s="170" t="str">
        <f>IF(Table2[[#This Row],[Valid from (date)]]="","",(MONTH(G71)&amp;"-"&amp;YEAR(G71)))</f>
        <v/>
      </c>
      <c r="I71" s="171"/>
      <c r="J71" s="6" t="s">
        <v>22</v>
      </c>
      <c r="K71" s="172" t="str">
        <f>_xlfn.TEXTJOIN("-",TRUE,Table2[[#This Row],[Client
'[Name']]],Table2[[#This Row],[Budget ID
'[BID']]],Table2[[#This Row],[Ressource
'[Initials']]])</f>
        <v>Novo Nordisk-240017-3-MS</v>
      </c>
      <c r="L71" s="6">
        <v>900</v>
      </c>
    </row>
    <row r="72" spans="1:12">
      <c r="A72" s="167" t="s">
        <v>92</v>
      </c>
      <c r="B72" s="167" t="s">
        <v>139</v>
      </c>
      <c r="C72" s="167" t="str">
        <f>IF(Table2[[#This Row],[Filter out of look-ups
'[Yes/No']]]="Yes","",Table2[[#This Row],[Project
'[Name']]])</f>
        <v>M1</v>
      </c>
      <c r="D72" s="168">
        <v>240017</v>
      </c>
      <c r="E72" s="168" t="s">
        <v>210</v>
      </c>
      <c r="F72" s="173" t="s">
        <v>211</v>
      </c>
      <c r="G72" s="169"/>
      <c r="H72" s="170" t="str">
        <f>IF(Table2[[#This Row],[Valid from (date)]]="","",(MONTH(G72)&amp;"-"&amp;YEAR(G72)))</f>
        <v/>
      </c>
      <c r="I72" s="171"/>
      <c r="J72" s="6" t="s">
        <v>20</v>
      </c>
      <c r="K72" s="172" t="str">
        <f>_xlfn.TEXTJOIN("-",TRUE,Table2[[#This Row],[Client
'[Name']]],Table2[[#This Row],[Budget ID
'[BID']]],Table2[[#This Row],[Ressource
'[Initials']]])</f>
        <v>Novo Nordisk-240017-3-DS</v>
      </c>
      <c r="L72" s="6">
        <v>900</v>
      </c>
    </row>
    <row r="73" spans="1:12">
      <c r="A73" s="6" t="s">
        <v>92</v>
      </c>
      <c r="B73" s="6" t="s">
        <v>139</v>
      </c>
      <c r="C73" s="167" t="str">
        <f>IF(Table2[[#This Row],[Filter out of look-ups
'[Yes/No']]]="Yes","",Table2[[#This Row],[Project
'[Name']]])</f>
        <v>M1</v>
      </c>
      <c r="D73" s="168">
        <v>240017</v>
      </c>
      <c r="E73" s="168" t="s">
        <v>210</v>
      </c>
      <c r="F73" s="173" t="s">
        <v>211</v>
      </c>
      <c r="G73" s="169"/>
      <c r="H73" s="170" t="str">
        <f>IF(Table2[[#This Row],[Valid from (date)]]="","",(MONTH(G73)&amp;"-"&amp;YEAR(G73)))</f>
        <v/>
      </c>
      <c r="I73" s="171"/>
      <c r="J73" s="6" t="s">
        <v>54</v>
      </c>
      <c r="K73" s="172" t="str">
        <f>_xlfn.TEXTJOIN("-",TRUE,Table2[[#This Row],[Client
'[Name']]],Table2[[#This Row],[Budget ID
'[BID']]],Table2[[#This Row],[Ressource
'[Initials']]])</f>
        <v>Novo Nordisk-240017-3-ML</v>
      </c>
      <c r="L73" s="6">
        <v>900</v>
      </c>
    </row>
    <row r="74" spans="1:12">
      <c r="A74" s="6" t="s">
        <v>92</v>
      </c>
      <c r="B74" s="6" t="s">
        <v>139</v>
      </c>
      <c r="C74" s="167" t="str">
        <f>IF(Table2[[#This Row],[Filter out of look-ups
'[Yes/No']]]="Yes","",Table2[[#This Row],[Project
'[Name']]])</f>
        <v>M1</v>
      </c>
      <c r="D74" s="168">
        <v>240017</v>
      </c>
      <c r="E74" s="168" t="s">
        <v>210</v>
      </c>
      <c r="F74" s="173" t="s">
        <v>211</v>
      </c>
      <c r="G74" s="169"/>
      <c r="H74" s="170" t="str">
        <f>IF(Table2[[#This Row],[Valid from (date)]]="","",(MONTH(G74)&amp;"-"&amp;YEAR(G74)))</f>
        <v/>
      </c>
      <c r="I74" s="171"/>
      <c r="J74" s="6" t="s">
        <v>152</v>
      </c>
      <c r="K74" s="172" t="str">
        <f>_xlfn.TEXTJOIN("-",TRUE,Table2[[#This Row],[Client
'[Name']]],Table2[[#This Row],[Budget ID
'[BID']]],Table2[[#This Row],[Ressource
'[Initials']]])</f>
        <v>Novo Nordisk-240017-3-BIM Mgnt.</v>
      </c>
      <c r="L74" s="6">
        <v>900</v>
      </c>
    </row>
    <row r="75" spans="1:12">
      <c r="A75" s="167" t="s">
        <v>92</v>
      </c>
      <c r="B75" s="167" t="s">
        <v>139</v>
      </c>
      <c r="C75" s="167" t="str">
        <f>IF(Table2[[#This Row],[Filter out of look-ups
'[Yes/No']]]="Yes","",Table2[[#This Row],[Project
'[Name']]])</f>
        <v>M1</v>
      </c>
      <c r="D75" s="168">
        <v>240017</v>
      </c>
      <c r="E75" s="168" t="s">
        <v>217</v>
      </c>
      <c r="F75" s="173" t="s">
        <v>158</v>
      </c>
      <c r="G75" s="169"/>
      <c r="H75" s="170" t="str">
        <f>IF(Table2[[#This Row],[Valid from (date)]]="","",(MONTH(G75)&amp;"-"&amp;YEAR(G75)))</f>
        <v/>
      </c>
      <c r="I75" s="171"/>
      <c r="J75" s="6" t="s">
        <v>22</v>
      </c>
      <c r="K75" s="172" t="str">
        <f>_xlfn.TEXTJOIN("-",TRUE,Table2[[#This Row],[Client
'[Name']]],Table2[[#This Row],[Budget ID
'[BID']]],Table2[[#This Row],[Ressource
'[Initials']]])</f>
        <v>Novo Nordisk-240017-4-MS</v>
      </c>
      <c r="L75" s="6">
        <v>900</v>
      </c>
    </row>
    <row r="76" spans="1:12">
      <c r="A76" s="6" t="s">
        <v>92</v>
      </c>
      <c r="B76" s="6" t="s">
        <v>139</v>
      </c>
      <c r="C76" s="167" t="str">
        <f>IF(Table2[[#This Row],[Filter out of look-ups
'[Yes/No']]]="Yes","",Table2[[#This Row],[Project
'[Name']]])</f>
        <v>M1</v>
      </c>
      <c r="D76" s="168">
        <v>240017</v>
      </c>
      <c r="E76" s="168" t="s">
        <v>217</v>
      </c>
      <c r="F76" s="173" t="s">
        <v>158</v>
      </c>
      <c r="G76" s="169"/>
      <c r="H76" s="170" t="str">
        <f>IF(Table2[[#This Row],[Valid from (date)]]="","",(MONTH(G76)&amp;"-"&amp;YEAR(G76)))</f>
        <v/>
      </c>
      <c r="I76" s="171"/>
      <c r="J76" s="6" t="s">
        <v>20</v>
      </c>
      <c r="K76" s="172" t="str">
        <f>_xlfn.TEXTJOIN("-",TRUE,Table2[[#This Row],[Client
'[Name']]],Table2[[#This Row],[Budget ID
'[BID']]],Table2[[#This Row],[Ressource
'[Initials']]])</f>
        <v>Novo Nordisk-240017-4-DS</v>
      </c>
      <c r="L76" s="6">
        <v>900</v>
      </c>
    </row>
    <row r="77" spans="1:12">
      <c r="A77" s="6" t="s">
        <v>92</v>
      </c>
      <c r="B77" s="6" t="s">
        <v>139</v>
      </c>
      <c r="C77" s="167" t="str">
        <f>IF(Table2[[#This Row],[Filter out of look-ups
'[Yes/No']]]="Yes","",Table2[[#This Row],[Project
'[Name']]])</f>
        <v>M1</v>
      </c>
      <c r="D77" s="168">
        <v>240017</v>
      </c>
      <c r="E77" s="168" t="s">
        <v>217</v>
      </c>
      <c r="F77" s="173" t="s">
        <v>158</v>
      </c>
      <c r="G77" s="169"/>
      <c r="H77" s="170" t="str">
        <f>IF(Table2[[#This Row],[Valid from (date)]]="","",(MONTH(G77)&amp;"-"&amp;YEAR(G77)))</f>
        <v/>
      </c>
      <c r="I77" s="171"/>
      <c r="J77" s="6" t="s">
        <v>54</v>
      </c>
      <c r="K77" s="172" t="str">
        <f>_xlfn.TEXTJOIN("-",TRUE,Table2[[#This Row],[Client
'[Name']]],Table2[[#This Row],[Budget ID
'[BID']]],Table2[[#This Row],[Ressource
'[Initials']]])</f>
        <v>Novo Nordisk-240017-4-ML</v>
      </c>
      <c r="L77" s="6">
        <v>900</v>
      </c>
    </row>
    <row r="78" spans="1:12">
      <c r="A78" s="167" t="s">
        <v>92</v>
      </c>
      <c r="B78" s="167" t="s">
        <v>139</v>
      </c>
      <c r="C78" s="167" t="str">
        <f>IF(Table2[[#This Row],[Filter out of look-ups
'[Yes/No']]]="Yes","",Table2[[#This Row],[Project
'[Name']]])</f>
        <v>M1</v>
      </c>
      <c r="D78" s="168">
        <v>240017</v>
      </c>
      <c r="E78" s="168" t="s">
        <v>217</v>
      </c>
      <c r="F78" s="173" t="s">
        <v>158</v>
      </c>
      <c r="G78" s="169"/>
      <c r="H78" s="170" t="str">
        <f>IF(Table2[[#This Row],[Valid from (date)]]="","",(MONTH(G78)&amp;"-"&amp;YEAR(G78)))</f>
        <v/>
      </c>
      <c r="I78" s="171"/>
      <c r="J78" s="6" t="s">
        <v>152</v>
      </c>
      <c r="K78" s="172" t="str">
        <f>_xlfn.TEXTJOIN("-",TRUE,Table2[[#This Row],[Client
'[Name']]],Table2[[#This Row],[Budget ID
'[BID']]],Table2[[#This Row],[Ressource
'[Initials']]])</f>
        <v>Novo Nordisk-240017-4-BIM Mgnt.</v>
      </c>
      <c r="L78" s="6">
        <v>900</v>
      </c>
    </row>
    <row r="79" spans="1:12">
      <c r="A79" s="6" t="s">
        <v>16</v>
      </c>
      <c r="B79" s="6" t="s">
        <v>214</v>
      </c>
      <c r="C79" s="167" t="str">
        <f>IF(Table2[[#This Row],[Filter out of look-ups
'[Yes/No']]]="Yes","",Table2[[#This Row],[Project
'[Name']]])</f>
        <v>Lab + Office Expansion</v>
      </c>
      <c r="D79" s="168">
        <v>250102</v>
      </c>
      <c r="E79" s="168">
        <f>Table2[[#This Row],[Project ID
'[Number']]]</f>
        <v>250102</v>
      </c>
      <c r="F79" s="173"/>
      <c r="G79" s="169"/>
      <c r="H79" s="170" t="str">
        <f>IF(Table2[[#This Row],[Valid from (date)]]="","",(MONTH(G79)&amp;"-"&amp;YEAR(G79)))</f>
        <v/>
      </c>
      <c r="I79" s="171"/>
      <c r="J79" s="6" t="s">
        <v>20</v>
      </c>
      <c r="K79" s="172" t="str">
        <f>_xlfn.TEXTJOIN("-",TRUE,Table2[[#This Row],[Client
'[Name']]],Table2[[#This Row],[Budget ID
'[BID']]],Table2[[#This Row],[Ressource
'[Initials']]])</f>
        <v>EvodiaBio-250102-DS</v>
      </c>
      <c r="L79" s="6">
        <v>900</v>
      </c>
    </row>
    <row r="80" spans="1:12">
      <c r="A80" s="6" t="s">
        <v>16</v>
      </c>
      <c r="B80" s="6" t="s">
        <v>214</v>
      </c>
      <c r="C80" s="167" t="str">
        <f>IF(Table2[[#This Row],[Filter out of look-ups
'[Yes/No']]]="Yes","",Table2[[#This Row],[Project
'[Name']]])</f>
        <v>Lab + Office Expansion</v>
      </c>
      <c r="D80" s="168">
        <v>250102</v>
      </c>
      <c r="E80" s="168">
        <f>Table2[[#This Row],[Project ID
'[Number']]]</f>
        <v>250102</v>
      </c>
      <c r="F80" s="173"/>
      <c r="G80" s="169"/>
      <c r="H80" s="170" t="str">
        <f>IF(Table2[[#This Row],[Valid from (date)]]="","",(MONTH(G80)&amp;"-"&amp;YEAR(G80)))</f>
        <v/>
      </c>
      <c r="I80" s="171"/>
      <c r="J80" s="6" t="s">
        <v>54</v>
      </c>
      <c r="K80" s="172" t="str">
        <f>_xlfn.TEXTJOIN("-",TRUE,Table2[[#This Row],[Client
'[Name']]],Table2[[#This Row],[Budget ID
'[BID']]],Table2[[#This Row],[Ressource
'[Initials']]])</f>
        <v>EvodiaBio-250102-ML</v>
      </c>
      <c r="L80" s="6">
        <v>900</v>
      </c>
    </row>
    <row r="81" spans="1:12">
      <c r="A81" s="167" t="s">
        <v>16</v>
      </c>
      <c r="B81" s="167" t="s">
        <v>214</v>
      </c>
      <c r="C81" s="167" t="str">
        <f>IF(Table2[[#This Row],[Filter out of look-ups
'[Yes/No']]]="Yes","",Table2[[#This Row],[Project
'[Name']]])</f>
        <v>Lab + Office Expansion</v>
      </c>
      <c r="D81" s="168">
        <v>250102</v>
      </c>
      <c r="E81" s="168">
        <f>Table2[[#This Row],[Project ID
'[Number']]]</f>
        <v>250102</v>
      </c>
      <c r="F81" s="173"/>
      <c r="G81" s="169"/>
      <c r="H81" s="170" t="str">
        <f>IF(Table2[[#This Row],[Valid from (date)]]="","",(MONTH(G81)&amp;"-"&amp;YEAR(G81)))</f>
        <v/>
      </c>
      <c r="I81" s="171"/>
      <c r="J81" s="6" t="s">
        <v>22</v>
      </c>
      <c r="K81" s="172" t="str">
        <f>_xlfn.TEXTJOIN("-",TRUE,Table2[[#This Row],[Client
'[Name']]],Table2[[#This Row],[Budget ID
'[BID']]],Table2[[#This Row],[Ressource
'[Initials']]])</f>
        <v>EvodiaBio-250102-MS</v>
      </c>
      <c r="L81" s="6">
        <v>900</v>
      </c>
    </row>
    <row r="82" spans="1:12">
      <c r="A82" s="6" t="s">
        <v>16</v>
      </c>
      <c r="B82" s="6" t="s">
        <v>214</v>
      </c>
      <c r="C82" s="167" t="str">
        <f>IF(Table2[[#This Row],[Filter out of look-ups
'[Yes/No']]]="Yes","",Table2[[#This Row],[Project
'[Name']]])</f>
        <v>Lab + Office Expansion</v>
      </c>
      <c r="D82" s="168">
        <v>250102</v>
      </c>
      <c r="E82" s="168">
        <f>Table2[[#This Row],[Project ID
'[Number']]]</f>
        <v>250102</v>
      </c>
      <c r="F82" s="173"/>
      <c r="G82" s="169"/>
      <c r="H82" s="170" t="str">
        <f>IF(Table2[[#This Row],[Valid from (date)]]="","",(MONTH(G82)&amp;"-"&amp;YEAR(G82)))</f>
        <v/>
      </c>
      <c r="I82" s="171"/>
      <c r="J82" s="6" t="s">
        <v>152</v>
      </c>
      <c r="K82" s="172" t="str">
        <f>_xlfn.TEXTJOIN("-",TRUE,Table2[[#This Row],[Client
'[Name']]],Table2[[#This Row],[Budget ID
'[BID']]],Table2[[#This Row],[Ressource
'[Initials']]])</f>
        <v>EvodiaBio-250102-BIM Mgnt.</v>
      </c>
      <c r="L82" s="6">
        <v>900</v>
      </c>
    </row>
    <row r="83" spans="1:12">
      <c r="A83" s="6" t="s">
        <v>14</v>
      </c>
      <c r="B83" s="6" t="s">
        <v>24</v>
      </c>
      <c r="C83" s="167" t="str">
        <f>IF(Table2[[#This Row],[Filter out of look-ups
'[Yes/No']]]="Yes","",Table2[[#This Row],[Project
'[Name']]])</f>
        <v>AstraZeneca</v>
      </c>
      <c r="D83" s="168" t="s">
        <v>218</v>
      </c>
      <c r="E83" s="168" t="str">
        <f>Table2[[#This Row],[Project ID
'[Number']]]</f>
        <v>230003-1</v>
      </c>
      <c r="F83" s="173"/>
      <c r="G83" s="169"/>
      <c r="H83" s="170" t="str">
        <f>IF(Table2[[#This Row],[Valid from (date)]]="","",(MONTH(G83)&amp;"-"&amp;YEAR(G83)))</f>
        <v/>
      </c>
      <c r="I83" s="171"/>
      <c r="J83" s="6" t="s">
        <v>20</v>
      </c>
      <c r="K83" s="172" t="str">
        <f>_xlfn.TEXTJOIN("-",TRUE,Table2[[#This Row],[Client
'[Name']]],Table2[[#This Row],[Budget ID
'[BID']]],Table2[[#This Row],[Ressource
'[Initials']]])</f>
        <v>Labflex-230003-1-DS</v>
      </c>
      <c r="L83" s="6">
        <v>900</v>
      </c>
    </row>
    <row r="84" spans="1:12">
      <c r="A84" s="167" t="s">
        <v>14</v>
      </c>
      <c r="B84" s="167" t="s">
        <v>24</v>
      </c>
      <c r="C84" s="167" t="str">
        <f>IF(Table2[[#This Row],[Filter out of look-ups
'[Yes/No']]]="Yes","",Table2[[#This Row],[Project
'[Name']]])</f>
        <v>AstraZeneca</v>
      </c>
      <c r="D84" s="168" t="s">
        <v>218</v>
      </c>
      <c r="E84" s="168" t="str">
        <f>Table2[[#This Row],[Project ID
'[Number']]]</f>
        <v>230003-1</v>
      </c>
      <c r="F84" s="173"/>
      <c r="G84" s="169"/>
      <c r="H84" s="170" t="str">
        <f>IF(Table2[[#This Row],[Valid from (date)]]="","",(MONTH(G84)&amp;"-"&amp;YEAR(G84)))</f>
        <v/>
      </c>
      <c r="I84" s="171"/>
      <c r="J84" s="6" t="s">
        <v>22</v>
      </c>
      <c r="K84" s="172" t="str">
        <f>_xlfn.TEXTJOIN("-",TRUE,Table2[[#This Row],[Client
'[Name']]],Table2[[#This Row],[Budget ID
'[BID']]],Table2[[#This Row],[Ressource
'[Initials']]])</f>
        <v>Labflex-230003-1-MS</v>
      </c>
      <c r="L84" s="6">
        <v>900</v>
      </c>
    </row>
    <row r="85" spans="1:12">
      <c r="A85" s="6" t="s">
        <v>14</v>
      </c>
      <c r="B85" s="6" t="s">
        <v>24</v>
      </c>
      <c r="C85" s="167" t="str">
        <f>IF(Table2[[#This Row],[Filter out of look-ups
'[Yes/No']]]="Yes","",Table2[[#This Row],[Project
'[Name']]])</f>
        <v>AstraZeneca</v>
      </c>
      <c r="D85" s="168" t="s">
        <v>218</v>
      </c>
      <c r="E85" s="168" t="str">
        <f>Table2[[#This Row],[Project ID
'[Number']]]</f>
        <v>230003-1</v>
      </c>
      <c r="F85" s="173"/>
      <c r="G85" s="169"/>
      <c r="H85" s="170" t="str">
        <f>IF(Table2[[#This Row],[Valid from (date)]]="","",(MONTH(G85)&amp;"-"&amp;YEAR(G85)))</f>
        <v/>
      </c>
      <c r="I85" s="171"/>
      <c r="J85" s="6" t="s">
        <v>54</v>
      </c>
      <c r="K85" s="172" t="str">
        <f>_xlfn.TEXTJOIN("-",TRUE,Table2[[#This Row],[Client
'[Name']]],Table2[[#This Row],[Budget ID
'[BID']]],Table2[[#This Row],[Ressource
'[Initials']]])</f>
        <v>Labflex-230003-1-ML</v>
      </c>
      <c r="L85" s="6">
        <v>900</v>
      </c>
    </row>
    <row r="86" spans="1:12">
      <c r="A86" s="6" t="s">
        <v>92</v>
      </c>
      <c r="B86" s="6" t="s">
        <v>244</v>
      </c>
      <c r="C86" s="167" t="str">
        <f>IF(Table2[[#This Row],[Filter out of look-ups
'[Yes/No']]]="Yes","",Table2[[#This Row],[Project
'[Name']]])</f>
        <v>CMC Petersburg</v>
      </c>
      <c r="D86" s="168">
        <v>250201</v>
      </c>
      <c r="E86" s="168">
        <v>250201</v>
      </c>
      <c r="F86" s="173"/>
      <c r="G86" s="169"/>
      <c r="H86" s="170" t="str">
        <f>IF(Table2[[#This Row],[Valid from (date)]]="","",(MONTH(G86)&amp;"-"&amp;YEAR(G86)))</f>
        <v/>
      </c>
      <c r="I86" s="171"/>
      <c r="J86" s="6" t="s">
        <v>20</v>
      </c>
      <c r="K86" s="172" t="str">
        <f>_xlfn.TEXTJOIN("-",TRUE,Table2[[#This Row],[Client
'[Name']]],Table2[[#This Row],[Budget ID
'[BID']]],Table2[[#This Row],[Ressource
'[Initials']]])</f>
        <v>Novo Nordisk-250201-DS</v>
      </c>
      <c r="L86" s="6">
        <v>900</v>
      </c>
    </row>
    <row r="87" spans="1:12">
      <c r="A87" s="167" t="s">
        <v>92</v>
      </c>
      <c r="B87" s="167" t="s">
        <v>244</v>
      </c>
      <c r="C87" s="167" t="str">
        <f>IF(Table2[[#This Row],[Filter out of look-ups
'[Yes/No']]]="Yes","",Table2[[#This Row],[Project
'[Name']]])</f>
        <v>CMC Petersburg</v>
      </c>
      <c r="D87" s="168">
        <v>250201</v>
      </c>
      <c r="E87" s="168">
        <v>250201</v>
      </c>
      <c r="F87" s="173"/>
      <c r="G87" s="169"/>
      <c r="H87" s="170" t="str">
        <f>IF(Table2[[#This Row],[Valid from (date)]]="","",(MONTH(G87)&amp;"-"&amp;YEAR(G87)))</f>
        <v/>
      </c>
      <c r="I87" s="171"/>
      <c r="J87" s="6" t="s">
        <v>22</v>
      </c>
      <c r="K87" s="172" t="str">
        <f>_xlfn.TEXTJOIN("-",TRUE,Table2[[#This Row],[Client
'[Name']]],Table2[[#This Row],[Budget ID
'[BID']]],Table2[[#This Row],[Ressource
'[Initials']]])</f>
        <v>Novo Nordisk-250201-MS</v>
      </c>
      <c r="L87" s="6">
        <v>900</v>
      </c>
    </row>
    <row r="88" spans="1:12">
      <c r="A88" s="6" t="s">
        <v>92</v>
      </c>
      <c r="B88" s="6" t="s">
        <v>244</v>
      </c>
      <c r="C88" s="167" t="str">
        <f>IF(Table2[[#This Row],[Filter out of look-ups
'[Yes/No']]]="Yes","",Table2[[#This Row],[Project
'[Name']]])</f>
        <v>CMC Petersburg</v>
      </c>
      <c r="D88" s="168">
        <v>250201</v>
      </c>
      <c r="E88" s="168">
        <v>250201</v>
      </c>
      <c r="F88" s="173"/>
      <c r="G88" s="169"/>
      <c r="H88" s="170" t="str">
        <f>IF(Table2[[#This Row],[Valid from (date)]]="","",(MONTH(G88)&amp;"-"&amp;YEAR(G88)))</f>
        <v/>
      </c>
      <c r="I88" s="171"/>
      <c r="J88" s="6" t="s">
        <v>54</v>
      </c>
      <c r="K88" s="172" t="str">
        <f>_xlfn.TEXTJOIN("-",TRUE,Table2[[#This Row],[Client
'[Name']]],Table2[[#This Row],[Budget ID
'[BID']]],Table2[[#This Row],[Ressource
'[Initials']]])</f>
        <v>Novo Nordisk-250201-ML</v>
      </c>
      <c r="L88" s="6">
        <v>900</v>
      </c>
    </row>
    <row r="89" spans="1:12">
      <c r="A89" s="6" t="s">
        <v>259</v>
      </c>
      <c r="B89" s="6" t="s">
        <v>260</v>
      </c>
      <c r="C89" s="167" t="str">
        <f>IF(Table2[[#This Row],[Filter out of look-ups
'[Yes/No']]]="Yes","",Table2[[#This Row],[Project
'[Name']]])</f>
        <v>Kongebakken Labs</v>
      </c>
      <c r="D89" s="168">
        <v>250401</v>
      </c>
      <c r="E89" s="168">
        <v>250401</v>
      </c>
      <c r="F89" s="173"/>
      <c r="G89" s="169"/>
      <c r="H89" s="170" t="str">
        <f>IF(Table2[[#This Row],[Valid from (date)]]="","",(MONTH(G89)&amp;"-"&amp;YEAR(G89)))</f>
        <v/>
      </c>
      <c r="I89" s="171"/>
      <c r="J89" s="6" t="s">
        <v>22</v>
      </c>
      <c r="K89" s="172" t="str">
        <f>_xlfn.TEXTJOIN("-",TRUE,Table2[[#This Row],[Client
'[Name']]],Table2[[#This Row],[Budget ID
'[BID']]],Table2[[#This Row],[Ressource
'[Initials']]])</f>
        <v>DLF Seeds-250401-MS</v>
      </c>
      <c r="L89" s="6">
        <v>900</v>
      </c>
    </row>
    <row r="90" spans="1:12">
      <c r="A90" s="167" t="s">
        <v>259</v>
      </c>
      <c r="B90" s="167" t="s">
        <v>260</v>
      </c>
      <c r="C90" s="167" t="str">
        <f>IF(Table2[[#This Row],[Filter out of look-ups
'[Yes/No']]]="Yes","",Table2[[#This Row],[Project
'[Name']]])</f>
        <v>Kongebakken Labs</v>
      </c>
      <c r="D90" s="168">
        <v>250401</v>
      </c>
      <c r="E90" s="168">
        <v>250401</v>
      </c>
      <c r="F90" s="173"/>
      <c r="G90" s="169"/>
      <c r="H90" s="170" t="str">
        <f>IF(Table2[[#This Row],[Valid from (date)]]="","",(MONTH(G90)&amp;"-"&amp;YEAR(G90)))</f>
        <v/>
      </c>
      <c r="I90" s="171"/>
      <c r="J90" s="6" t="s">
        <v>54</v>
      </c>
      <c r="K90" s="172" t="str">
        <f>_xlfn.TEXTJOIN("-",TRUE,Table2[[#This Row],[Client
'[Name']]],Table2[[#This Row],[Budget ID
'[BID']]],Table2[[#This Row],[Ressource
'[Initials']]])</f>
        <v>DLF Seeds-250401-ML</v>
      </c>
      <c r="L90" s="6">
        <v>900</v>
      </c>
    </row>
    <row r="91" spans="1:12">
      <c r="A91" s="6" t="s">
        <v>259</v>
      </c>
      <c r="B91" s="6" t="s">
        <v>260</v>
      </c>
      <c r="C91" s="167" t="str">
        <f>IF(Table2[[#This Row],[Filter out of look-ups
'[Yes/No']]]="Yes","",Table2[[#This Row],[Project
'[Name']]])</f>
        <v>Kongebakken Labs</v>
      </c>
      <c r="D91" s="168">
        <v>250401</v>
      </c>
      <c r="E91" s="168">
        <v>250401</v>
      </c>
      <c r="F91" s="173"/>
      <c r="G91" s="169"/>
      <c r="H91" s="170" t="str">
        <f>IF(Table2[[#This Row],[Valid from (date)]]="","",(MONTH(G91)&amp;"-"&amp;YEAR(G91)))</f>
        <v/>
      </c>
      <c r="I91" s="171"/>
      <c r="J91" s="6" t="s">
        <v>20</v>
      </c>
      <c r="K91" s="172" t="str">
        <f>_xlfn.TEXTJOIN("-",TRUE,Table2[[#This Row],[Client
'[Name']]],Table2[[#This Row],[Budget ID
'[BID']]],Table2[[#This Row],[Ressource
'[Initials']]])</f>
        <v>DLF Seeds-250401-DS</v>
      </c>
      <c r="L91" s="6">
        <v>900</v>
      </c>
    </row>
    <row r="92" spans="1:12">
      <c r="A92" s="6" t="s">
        <v>92</v>
      </c>
      <c r="B92" s="6" t="s">
        <v>269</v>
      </c>
      <c r="C92" s="167" t="str">
        <f>IF(Table2[[#This Row],[Filter out of look-ups
'[Yes/No']]]="Yes","",Table2[[#This Row],[Project
'[Name']]])</f>
        <v>SoOp QC</v>
      </c>
      <c r="D92" s="168">
        <v>250402</v>
      </c>
      <c r="E92" s="168">
        <v>250402</v>
      </c>
      <c r="F92" s="173"/>
      <c r="G92" s="169"/>
      <c r="H92" s="170" t="str">
        <f>IF(Table2[[#This Row],[Valid from (date)]]="","",(MONTH(G92)&amp;"-"&amp;YEAR(G92)))</f>
        <v/>
      </c>
      <c r="I92" s="171"/>
      <c r="J92" s="6" t="s">
        <v>22</v>
      </c>
      <c r="K92" s="172" t="str">
        <f>_xlfn.TEXTJOIN("-",TRUE,Table2[[#This Row],[Client
'[Name']]],Table2[[#This Row],[Budget ID
'[BID']]],Table2[[#This Row],[Ressource
'[Initials']]])</f>
        <v>Novo Nordisk-250402-MS</v>
      </c>
      <c r="L92" s="6">
        <v>900</v>
      </c>
    </row>
    <row r="93" spans="1:12">
      <c r="A93" s="167" t="s">
        <v>92</v>
      </c>
      <c r="B93" s="167" t="s">
        <v>269</v>
      </c>
      <c r="C93" s="167" t="str">
        <f>IF(Table2[[#This Row],[Filter out of look-ups
'[Yes/No']]]="Yes","",Table2[[#This Row],[Project
'[Name']]])</f>
        <v>SoOp QC</v>
      </c>
      <c r="D93" s="168">
        <v>250402</v>
      </c>
      <c r="E93" s="168">
        <v>250402</v>
      </c>
      <c r="F93" s="173"/>
      <c r="G93" s="169"/>
      <c r="H93" s="170" t="str">
        <f>IF(Table2[[#This Row],[Valid from (date)]]="","",(MONTH(G93)&amp;"-"&amp;YEAR(G93)))</f>
        <v/>
      </c>
      <c r="I93" s="171"/>
      <c r="J93" s="6" t="s">
        <v>20</v>
      </c>
      <c r="K93" s="172" t="str">
        <f>_xlfn.TEXTJOIN("-",TRUE,Table2[[#This Row],[Client
'[Name']]],Table2[[#This Row],[Budget ID
'[BID']]],Table2[[#This Row],[Ressource
'[Initials']]])</f>
        <v>Novo Nordisk-250402-DS</v>
      </c>
      <c r="L93" s="6">
        <v>900</v>
      </c>
    </row>
    <row r="94" spans="1:12">
      <c r="A94" s="6" t="s">
        <v>92</v>
      </c>
      <c r="B94" s="6" t="s">
        <v>269</v>
      </c>
      <c r="C94" s="167" t="str">
        <f>IF(Table2[[#This Row],[Filter out of look-ups
'[Yes/No']]]="Yes","",Table2[[#This Row],[Project
'[Name']]])</f>
        <v>SoOp QC</v>
      </c>
      <c r="D94" s="168">
        <v>250402</v>
      </c>
      <c r="E94" s="168">
        <v>250402</v>
      </c>
      <c r="F94" s="173"/>
      <c r="G94" s="169"/>
      <c r="H94" s="170" t="str">
        <f>IF(Table2[[#This Row],[Valid from (date)]]="","",(MONTH(G94)&amp;"-"&amp;YEAR(G94)))</f>
        <v/>
      </c>
      <c r="I94" s="171"/>
      <c r="J94" s="6" t="s">
        <v>54</v>
      </c>
      <c r="K94" s="172" t="str">
        <f>_xlfn.TEXTJOIN("-",TRUE,Table2[[#This Row],[Client
'[Name']]],Table2[[#This Row],[Budget ID
'[BID']]],Table2[[#This Row],[Ressource
'[Initials']]])</f>
        <v>Novo Nordisk-250402-ML</v>
      </c>
      <c r="L94" s="6">
        <v>900</v>
      </c>
    </row>
    <row r="95" spans="1:12">
      <c r="A95" s="6" t="s">
        <v>92</v>
      </c>
      <c r="B95" s="6" t="s">
        <v>269</v>
      </c>
      <c r="C95" s="167" t="str">
        <f>IF(Table2[[#This Row],[Filter out of look-ups
'[Yes/No']]]="Yes","",Table2[[#This Row],[Project
'[Name']]])</f>
        <v>SoOp QC</v>
      </c>
      <c r="D95" s="168">
        <v>250402</v>
      </c>
      <c r="E95" s="168">
        <v>250402</v>
      </c>
      <c r="F95" s="173"/>
      <c r="G95" s="169"/>
      <c r="H95" s="170" t="str">
        <f>IF(Table2[[#This Row],[Valid from (date)]]="","",(MONTH(G95)&amp;"-"&amp;YEAR(G95)))</f>
        <v/>
      </c>
      <c r="I95" s="171"/>
      <c r="J95" s="6" t="s">
        <v>369</v>
      </c>
      <c r="K95" s="172" t="str">
        <f>_xlfn.TEXTJOIN("-",TRUE,Table2[[#This Row],[Client
'[Name']]],Table2[[#This Row],[Budget ID
'[BID']]],Table2[[#This Row],[Ressource
'[Initials']]])</f>
        <v>Novo Nordisk-250402-GL</v>
      </c>
      <c r="L95" s="6">
        <v>900</v>
      </c>
    </row>
    <row r="96" spans="1:12">
      <c r="A96" s="6" t="s">
        <v>92</v>
      </c>
      <c r="B96" s="6" t="s">
        <v>139</v>
      </c>
      <c r="C96" s="167" t="str">
        <f>IF(Table2[[#This Row],[Filter out of look-ups
'[Yes/No']]]="Yes","",Table2[[#This Row],[Project
'[Name']]])</f>
        <v>M1</v>
      </c>
      <c r="D96" s="168">
        <v>240017</v>
      </c>
      <c r="E96" s="168" t="s">
        <v>270</v>
      </c>
      <c r="F96" s="173" t="s">
        <v>271</v>
      </c>
      <c r="G96" s="169"/>
      <c r="H96" s="170" t="str">
        <f>IF(Table2[[#This Row],[Valid from (date)]]="","",(MONTH(G96)&amp;"-"&amp;YEAR(G96)))</f>
        <v/>
      </c>
      <c r="I96" s="171"/>
      <c r="J96" s="6" t="s">
        <v>54</v>
      </c>
      <c r="K96" s="172" t="str">
        <f>_xlfn.TEXTJOIN("-",TRUE,Table2[[#This Row],[Client
'[Name']]],Table2[[#This Row],[Budget ID
'[BID']]],Table2[[#This Row],[Ressource
'[Initials']]])</f>
        <v>Novo Nordisk-240017-5-ML</v>
      </c>
      <c r="L96" s="6">
        <v>900</v>
      </c>
    </row>
    <row r="97" spans="1:12">
      <c r="A97" s="167" t="s">
        <v>92</v>
      </c>
      <c r="B97" s="167" t="s">
        <v>139</v>
      </c>
      <c r="C97" s="167" t="str">
        <f>IF(Table2[[#This Row],[Filter out of look-ups
'[Yes/No']]]="Yes","",Table2[[#This Row],[Project
'[Name']]])</f>
        <v>M1</v>
      </c>
      <c r="D97" s="168">
        <v>240017</v>
      </c>
      <c r="E97" s="168" t="s">
        <v>270</v>
      </c>
      <c r="F97" s="173" t="s">
        <v>271</v>
      </c>
      <c r="G97" s="169"/>
      <c r="H97" s="170" t="str">
        <f>IF(Table2[[#This Row],[Valid from (date)]]="","",(MONTH(G97)&amp;"-"&amp;YEAR(G97)))</f>
        <v/>
      </c>
      <c r="I97" s="171"/>
      <c r="J97" s="6" t="s">
        <v>22</v>
      </c>
      <c r="K97" s="172" t="str">
        <f>_xlfn.TEXTJOIN("-",TRUE,Table2[[#This Row],[Client
'[Name']]],Table2[[#This Row],[Budget ID
'[BID']]],Table2[[#This Row],[Ressource
'[Initials']]])</f>
        <v>Novo Nordisk-240017-5-MS</v>
      </c>
      <c r="L97" s="6">
        <v>900</v>
      </c>
    </row>
    <row r="98" spans="1:12">
      <c r="A98" s="6" t="s">
        <v>92</v>
      </c>
      <c r="B98" s="6" t="s">
        <v>139</v>
      </c>
      <c r="C98" s="167" t="str">
        <f>IF(Table2[[#This Row],[Filter out of look-ups
'[Yes/No']]]="Yes","",Table2[[#This Row],[Project
'[Name']]])</f>
        <v>M1</v>
      </c>
      <c r="D98" s="168">
        <v>240017</v>
      </c>
      <c r="E98" s="168" t="s">
        <v>270</v>
      </c>
      <c r="F98" s="173" t="s">
        <v>271</v>
      </c>
      <c r="G98" s="169"/>
      <c r="H98" s="170" t="str">
        <f>IF(Table2[[#This Row],[Valid from (date)]]="","",(MONTH(G98)&amp;"-"&amp;YEAR(G98)))</f>
        <v/>
      </c>
      <c r="I98" s="171"/>
      <c r="J98" s="6" t="s">
        <v>20</v>
      </c>
      <c r="K98" s="172" t="str">
        <f>_xlfn.TEXTJOIN("-",TRUE,Table2[[#This Row],[Client
'[Name']]],Table2[[#This Row],[Budget ID
'[BID']]],Table2[[#This Row],[Ressource
'[Initials']]])</f>
        <v>Novo Nordisk-240017-5-DS</v>
      </c>
      <c r="L98" s="6">
        <v>900</v>
      </c>
    </row>
    <row r="99" spans="1:12">
      <c r="A99" s="6" t="s">
        <v>52</v>
      </c>
      <c r="B99" s="6" t="s">
        <v>272</v>
      </c>
      <c r="C99" s="167" t="str">
        <f>IF(Table2[[#This Row],[Filter out of look-ups
'[Yes/No']]]="Yes","",Table2[[#This Row],[Project
'[Name']]])</f>
        <v>Lundbeck</v>
      </c>
      <c r="D99" s="168">
        <v>250403</v>
      </c>
      <c r="E99" s="168">
        <v>250403</v>
      </c>
      <c r="F99" s="173"/>
      <c r="G99" s="169"/>
      <c r="H99" s="170" t="str">
        <f>IF(Table2[[#This Row],[Valid from (date)]]="","",(MONTH(G99)&amp;"-"&amp;YEAR(G99)))</f>
        <v/>
      </c>
      <c r="I99" s="171"/>
      <c r="J99" s="6" t="s">
        <v>22</v>
      </c>
      <c r="K99" s="172" t="str">
        <f>_xlfn.TEXTJOIN("-",TRUE,Table2[[#This Row],[Client
'[Name']]],Table2[[#This Row],[Budget ID
'[BID']]],Table2[[#This Row],[Ressource
'[Initials']]])</f>
        <v>Lab-Vent-250403-MS</v>
      </c>
      <c r="L99" s="6">
        <v>900</v>
      </c>
    </row>
    <row r="100" spans="1:12">
      <c r="A100" s="167" t="s">
        <v>52</v>
      </c>
      <c r="B100" s="167" t="s">
        <v>272</v>
      </c>
      <c r="C100" s="167" t="str">
        <f>IF(Table2[[#This Row],[Filter out of look-ups
'[Yes/No']]]="Yes","",Table2[[#This Row],[Project
'[Name']]])</f>
        <v>Lundbeck</v>
      </c>
      <c r="D100" s="168">
        <v>250403</v>
      </c>
      <c r="E100" s="168">
        <v>250403</v>
      </c>
      <c r="F100" s="173"/>
      <c r="G100" s="169"/>
      <c r="H100" s="170" t="str">
        <f>IF(Table2[[#This Row],[Valid from (date)]]="","",(MONTH(G100)&amp;"-"&amp;YEAR(G100)))</f>
        <v/>
      </c>
      <c r="I100" s="171"/>
      <c r="J100" s="6" t="s">
        <v>54</v>
      </c>
      <c r="K100" s="172" t="str">
        <f>_xlfn.TEXTJOIN("-",TRUE,Table2[[#This Row],[Client
'[Name']]],Table2[[#This Row],[Budget ID
'[BID']]],Table2[[#This Row],[Ressource
'[Initials']]])</f>
        <v>Lab-Vent-250403-ML</v>
      </c>
      <c r="L100" s="6">
        <v>900</v>
      </c>
    </row>
    <row r="101" spans="1:12">
      <c r="A101" s="6" t="s">
        <v>52</v>
      </c>
      <c r="B101" s="6" t="s">
        <v>272</v>
      </c>
      <c r="C101" s="167" t="str">
        <f>IF(Table2[[#This Row],[Filter out of look-ups
'[Yes/No']]]="Yes","",Table2[[#This Row],[Project
'[Name']]])</f>
        <v>Lundbeck</v>
      </c>
      <c r="D101" s="168">
        <v>250403</v>
      </c>
      <c r="E101" s="168">
        <v>250403</v>
      </c>
      <c r="F101" s="173"/>
      <c r="G101" s="169"/>
      <c r="H101" s="170" t="str">
        <f>IF(Table2[[#This Row],[Valid from (date)]]="","",(MONTH(G101)&amp;"-"&amp;YEAR(G101)))</f>
        <v/>
      </c>
      <c r="I101" s="171"/>
      <c r="J101" s="6" t="s">
        <v>279</v>
      </c>
      <c r="K101" s="172" t="str">
        <f>_xlfn.TEXTJOIN("-",TRUE,Table2[[#This Row],[Client
'[Name']]],Table2[[#This Row],[Budget ID
'[BID']]],Table2[[#This Row],[Ressource
'[Initials']]])</f>
        <v>Lab-Vent-250403-SM</v>
      </c>
      <c r="L101" s="167">
        <v>400</v>
      </c>
    </row>
    <row r="102" spans="1:12">
      <c r="A102" s="6" t="s">
        <v>92</v>
      </c>
      <c r="B102" s="6" t="s">
        <v>275</v>
      </c>
      <c r="C102" s="167" t="str">
        <f>IF(Table2[[#This Row],[Filter out of look-ups
'[Yes/No']]]="Yes","",Table2[[#This Row],[Project
'[Name']]])</f>
        <v>NN MA K6</v>
      </c>
      <c r="D102" s="168">
        <v>250501</v>
      </c>
      <c r="E102" s="168">
        <v>250501</v>
      </c>
      <c r="F102" s="173" t="s">
        <v>276</v>
      </c>
      <c r="G102" s="169"/>
      <c r="H102" s="170" t="str">
        <f>IF(Table2[[#This Row],[Valid from (date)]]="","",(MONTH(G102)&amp;"-"&amp;YEAR(G102)))</f>
        <v/>
      </c>
      <c r="I102" s="171"/>
      <c r="J102" s="6" t="s">
        <v>22</v>
      </c>
      <c r="K102" s="172" t="str">
        <f>_xlfn.TEXTJOIN("-",TRUE,Table2[[#This Row],[Client
'[Name']]],Table2[[#This Row],[Budget ID
'[BID']]],Table2[[#This Row],[Ressource
'[Initials']]])</f>
        <v>Novo Nordisk-250501-MS</v>
      </c>
      <c r="L102" s="6">
        <v>900</v>
      </c>
    </row>
    <row r="103" spans="1:12">
      <c r="A103" s="167" t="s">
        <v>92</v>
      </c>
      <c r="B103" s="167" t="s">
        <v>275</v>
      </c>
      <c r="C103" s="167" t="str">
        <f>IF(Table2[[#This Row],[Filter out of look-ups
'[Yes/No']]]="Yes","",Table2[[#This Row],[Project
'[Name']]])</f>
        <v>NN MA K6</v>
      </c>
      <c r="D103" s="168">
        <v>250501</v>
      </c>
      <c r="E103" s="168">
        <v>250501</v>
      </c>
      <c r="F103" s="173" t="s">
        <v>276</v>
      </c>
      <c r="G103" s="169"/>
      <c r="H103" s="170" t="str">
        <f>IF(Table2[[#This Row],[Valid from (date)]]="","",(MONTH(G103)&amp;"-"&amp;YEAR(G103)))</f>
        <v/>
      </c>
      <c r="I103" s="171"/>
      <c r="J103" s="6" t="s">
        <v>20</v>
      </c>
      <c r="K103" s="172" t="str">
        <f>_xlfn.TEXTJOIN("-",TRUE,Table2[[#This Row],[Client
'[Name']]],Table2[[#This Row],[Budget ID
'[BID']]],Table2[[#This Row],[Ressource
'[Initials']]])</f>
        <v>Novo Nordisk-250501-DS</v>
      </c>
      <c r="L103" s="6">
        <v>900</v>
      </c>
    </row>
    <row r="104" spans="1:12">
      <c r="A104" s="6" t="s">
        <v>92</v>
      </c>
      <c r="B104" s="6" t="s">
        <v>275</v>
      </c>
      <c r="C104" s="167" t="str">
        <f>IF(Table2[[#This Row],[Filter out of look-ups
'[Yes/No']]]="Yes","",Table2[[#This Row],[Project
'[Name']]])</f>
        <v>NN MA K6</v>
      </c>
      <c r="D104" s="168">
        <v>250501</v>
      </c>
      <c r="E104" s="168">
        <v>250501</v>
      </c>
      <c r="F104" s="173" t="s">
        <v>276</v>
      </c>
      <c r="G104" s="169"/>
      <c r="H104" s="170" t="str">
        <f>IF(Table2[[#This Row],[Valid from (date)]]="","",(MONTH(G104)&amp;"-"&amp;YEAR(G104)))</f>
        <v/>
      </c>
      <c r="I104" s="171"/>
      <c r="J104" s="6" t="s">
        <v>54</v>
      </c>
      <c r="K104" s="172" t="str">
        <f>_xlfn.TEXTJOIN("-",TRUE,Table2[[#This Row],[Client
'[Name']]],Table2[[#This Row],[Budget ID
'[BID']]],Table2[[#This Row],[Ressource
'[Initials']]])</f>
        <v>Novo Nordisk-250501-ML</v>
      </c>
      <c r="L104" s="6">
        <v>900</v>
      </c>
    </row>
    <row r="105" spans="1:12">
      <c r="A105" s="167" t="s">
        <v>368</v>
      </c>
      <c r="B105" s="167" t="s">
        <v>367</v>
      </c>
      <c r="C105" s="167" t="str">
        <f>IF(Table2[[#This Row],[Filter out of look-ups
'[Yes/No']]]="Yes","",Table2[[#This Row],[Project
'[Name']]])</f>
        <v>CCRM Nordic</v>
      </c>
      <c r="D105" s="168">
        <v>250902</v>
      </c>
      <c r="E105" s="168">
        <v>250902</v>
      </c>
      <c r="F105" s="173"/>
      <c r="G105" s="169"/>
      <c r="H105" s="170" t="str">
        <f>IF(Table2[[#This Row],[Valid from (date)]]="","",(MONTH(G105)&amp;"-"&amp;YEAR(G105)))</f>
        <v/>
      </c>
      <c r="I105" s="171"/>
      <c r="J105" s="6" t="s">
        <v>22</v>
      </c>
      <c r="K105" s="172" t="str">
        <f>_xlfn.TEXTJOIN("-",TRUE,Table2[[#This Row],[Client
'[Name']]],Table2[[#This Row],[Budget ID
'[BID']]],Table2[[#This Row],[Ressource
'[Initials']]])</f>
        <v>Kyodo Projects-250902-MS</v>
      </c>
      <c r="L105" s="6">
        <v>900</v>
      </c>
    </row>
    <row r="106" spans="1:12">
      <c r="A106" s="6" t="s">
        <v>368</v>
      </c>
      <c r="B106" s="6" t="s">
        <v>367</v>
      </c>
      <c r="C106" s="167" t="str">
        <f>IF(Table2[[#This Row],[Filter out of look-ups
'[Yes/No']]]="Yes","",Table2[[#This Row],[Project
'[Name']]])</f>
        <v>CCRM Nordic</v>
      </c>
      <c r="D106" s="168">
        <v>250902</v>
      </c>
      <c r="E106" s="168">
        <v>250902</v>
      </c>
      <c r="F106" s="173"/>
      <c r="G106" s="169"/>
      <c r="H106" s="170" t="str">
        <f>IF(Table2[[#This Row],[Valid from (date)]]="","",(MONTH(G106)&amp;"-"&amp;YEAR(G106)))</f>
        <v/>
      </c>
      <c r="I106" s="171"/>
      <c r="J106" s="6" t="s">
        <v>20</v>
      </c>
      <c r="K106" s="172" t="str">
        <f>_xlfn.TEXTJOIN("-",TRUE,Table2[[#This Row],[Client
'[Name']]],Table2[[#This Row],[Budget ID
'[BID']]],Table2[[#This Row],[Ressource
'[Initials']]])</f>
        <v>Kyodo Projects-250902-DS</v>
      </c>
      <c r="L106" s="167">
        <v>900</v>
      </c>
    </row>
    <row r="107" spans="1:12">
      <c r="A107" s="6" t="s">
        <v>368</v>
      </c>
      <c r="B107" s="6" t="s">
        <v>367</v>
      </c>
      <c r="C107" s="167" t="str">
        <f>IF(Table2[[#This Row],[Filter out of look-ups
'[Yes/No']]]="Yes","",Table2[[#This Row],[Project
'[Name']]])</f>
        <v>CCRM Nordic</v>
      </c>
      <c r="D107" s="168">
        <v>250902</v>
      </c>
      <c r="E107" s="168">
        <v>250902</v>
      </c>
      <c r="F107" s="173"/>
      <c r="G107" s="169"/>
      <c r="H107" s="170" t="str">
        <f>IF(Table2[[#This Row],[Valid from (date)]]="","",(MONTH(G107)&amp;"-"&amp;YEAR(G107)))</f>
        <v/>
      </c>
      <c r="I107" s="171"/>
      <c r="J107" s="6" t="s">
        <v>54</v>
      </c>
      <c r="K107" s="172" t="str">
        <f>_xlfn.TEXTJOIN("-",TRUE,Table2[[#This Row],[Client
'[Name']]],Table2[[#This Row],[Budget ID
'[BID']]],Table2[[#This Row],[Ressource
'[Initials']]])</f>
        <v>Kyodo Projects-250902-ML</v>
      </c>
      <c r="L107" s="6">
        <v>900</v>
      </c>
    </row>
    <row r="108" spans="1:12">
      <c r="A108" s="167" t="s">
        <v>368</v>
      </c>
      <c r="B108" s="167" t="s">
        <v>367</v>
      </c>
      <c r="C108" s="167" t="str">
        <f>IF(Table2[[#This Row],[Filter out of look-ups
'[Yes/No']]]="Yes","",Table2[[#This Row],[Project
'[Name']]])</f>
        <v>CCRM Nordic</v>
      </c>
      <c r="D108" s="168">
        <v>250902</v>
      </c>
      <c r="E108" s="168">
        <v>250902</v>
      </c>
      <c r="F108" s="173"/>
      <c r="G108" s="169"/>
      <c r="H108" s="170" t="str">
        <f>IF(Table2[[#This Row],[Valid from (date)]]="","",(MONTH(G108)&amp;"-"&amp;YEAR(G108)))</f>
        <v/>
      </c>
      <c r="I108" s="171"/>
      <c r="J108" s="6" t="s">
        <v>369</v>
      </c>
      <c r="K108" s="172" t="str">
        <f>_xlfn.TEXTJOIN("-",TRUE,Table2[[#This Row],[Client
'[Name']]],Table2[[#This Row],[Budget ID
'[BID']]],Table2[[#This Row],[Ressource
'[Initials']]])</f>
        <v>Kyodo Projects-250902-GL</v>
      </c>
      <c r="L108" s="6">
        <v>900</v>
      </c>
    </row>
    <row r="109" spans="1:12">
      <c r="A109" s="6" t="s">
        <v>14</v>
      </c>
      <c r="B109" s="6" t="s">
        <v>24</v>
      </c>
      <c r="C109" s="167" t="str">
        <f>IF(Table2[[#This Row],[Filter out of look-ups
'[Yes/No']]]="Yes","",Table2[[#This Row],[Project
'[Name']]])</f>
        <v>AstraZeneca</v>
      </c>
      <c r="D109" s="168" t="s">
        <v>218</v>
      </c>
      <c r="E109" s="168" t="str">
        <f>Table2[[#This Row],[Project ID
'[Number']]]</f>
        <v>230003-1</v>
      </c>
      <c r="F109" s="175"/>
      <c r="G109" s="176"/>
      <c r="H109" s="177" t="str">
        <f>IF(Table2[[#This Row],[Valid from (date)]]="","",(MONTH(G109)&amp;"-"&amp;YEAR(G109)))</f>
        <v/>
      </c>
      <c r="I109" s="178"/>
      <c r="J109" s="6" t="s">
        <v>369</v>
      </c>
      <c r="K109" s="179" t="str">
        <f>_xlfn.TEXTJOIN("-",TRUE,Table2[[#This Row],[Client
'[Name']]],Table2[[#This Row],[Budget ID
'[BID']]],Table2[[#This Row],[Ressource
'[Initials']]])</f>
        <v>Labflex-230003-1-GL</v>
      </c>
      <c r="L109" s="6">
        <v>800</v>
      </c>
    </row>
    <row r="110" spans="1:12">
      <c r="A110" s="6" t="s">
        <v>92</v>
      </c>
      <c r="B110" s="6" t="s">
        <v>139</v>
      </c>
      <c r="C110" s="167" t="str">
        <f>IF(Table2[[#This Row],[Filter out of look-ups
'[Yes/No']]]="Yes","",Table2[[#This Row],[Project
'[Name']]])</f>
        <v>M1</v>
      </c>
      <c r="D110" s="168">
        <v>240017</v>
      </c>
      <c r="E110" s="168" t="s">
        <v>270</v>
      </c>
      <c r="F110" s="173" t="s">
        <v>271</v>
      </c>
      <c r="G110" s="169"/>
      <c r="H110" s="170" t="str">
        <f>IF(Table2[[#This Row],[Valid from (date)]]="","",(MONTH(G110)&amp;"-"&amp;YEAR(G110)))</f>
        <v/>
      </c>
      <c r="I110" s="171"/>
      <c r="J110" s="6" t="s">
        <v>369</v>
      </c>
      <c r="K110" s="172" t="str">
        <f>_xlfn.TEXTJOIN("-",TRUE,Table2[[#This Row],[Client
'[Name']]],Table2[[#This Row],[Budget ID
'[BID']]],Table2[[#This Row],[Ressource
'[Initials']]])</f>
        <v>Novo Nordisk-240017-5-GL</v>
      </c>
      <c r="L110" s="6">
        <v>900</v>
      </c>
    </row>
    <row r="111" spans="1:12">
      <c r="A111" s="167" t="s">
        <v>143</v>
      </c>
      <c r="B111" s="167" t="s">
        <v>144</v>
      </c>
      <c r="C111" s="50" t="str">
        <f>IF(Table2[[#This Row],[Filter out of look-ups
'[Yes/No']]]="Yes","",Table2[[#This Row],[Project
'[Name']]])</f>
        <v>PD &amp; QC Lab</v>
      </c>
      <c r="D111" s="51">
        <v>240018</v>
      </c>
      <c r="E111" s="51">
        <v>240018</v>
      </c>
      <c r="F111" s="175"/>
      <c r="G111" s="176"/>
      <c r="H111" s="177" t="str">
        <f>IF(Table2[[#This Row],[Valid from (date)]]="","",(MONTH(G111)&amp;"-"&amp;YEAR(G111)))</f>
        <v/>
      </c>
      <c r="I111" s="178"/>
      <c r="J111" s="6" t="s">
        <v>369</v>
      </c>
      <c r="K111" s="179" t="str">
        <f>_xlfn.TEXTJOIN("-",TRUE,Table2[[#This Row],[Client
'[Name']]],Table2[[#This Row],[Budget ID
'[BID']]],Table2[[#This Row],[Ressource
'[Initials']]])</f>
        <v>CCRM-240018-GL</v>
      </c>
      <c r="L111" s="6">
        <v>900</v>
      </c>
    </row>
    <row r="112" spans="1:12">
      <c r="A112" s="181"/>
      <c r="B112" s="181"/>
      <c r="D112" s="181"/>
      <c r="E112" s="181"/>
      <c r="F112" s="181"/>
      <c r="G112" s="181"/>
      <c r="H112" s="181"/>
      <c r="I112" s="181"/>
      <c r="J112" s="181"/>
      <c r="K112" s="181"/>
      <c r="L112" s="181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7e73a8-6c2b-47ad-b1e4-d9404b3be5e2">
      <Terms xmlns="http://schemas.microsoft.com/office/infopath/2007/PartnerControls"/>
    </lcf76f155ced4ddcb4097134ff3c332f>
    <TaxCatchAll xmlns="aa5ade46-9cd6-4083-8cb3-6493c3d322e5" xsi:nil="true"/>
  </documentManagement>
</p:properties>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25ECEB9D266489A4C4BAEE9C138D7" ma:contentTypeVersion="13" ma:contentTypeDescription="Create a new document." ma:contentTypeScope="" ma:versionID="7035983bb000463f77d73d8348983df5">
  <xsd:schema xmlns:xsd="http://www.w3.org/2001/XMLSchema" xmlns:xs="http://www.w3.org/2001/XMLSchema" xmlns:p="http://schemas.microsoft.com/office/2006/metadata/properties" xmlns:ns2="c27e73a8-6c2b-47ad-b1e4-d9404b3be5e2" xmlns:ns3="aa5ade46-9cd6-4083-8cb3-6493c3d322e5" targetNamespace="http://schemas.microsoft.com/office/2006/metadata/properties" ma:root="true" ma:fieldsID="640dd6b72bb91c7e001de435e2fd01a6" ns2:_="" ns3:_="">
    <xsd:import namespace="c27e73a8-6c2b-47ad-b1e4-d9404b3be5e2"/>
    <xsd:import namespace="aa5ade46-9cd6-4083-8cb3-6493c3d32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e73a8-6c2b-47ad-b1e4-d9404b3be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7d82e7f-c957-41e7-94af-e328b75fb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5ade46-9cd6-4083-8cb3-6493c3d322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1ddf1e7-9c61-4a45-a59c-b48c2df661eb}" ma:internalName="TaxCatchAll" ma:showField="CatchAllData" ma:web="aa5ade46-9cd6-4083-8cb3-6493c3d32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28DE17D-8FAA-45F2-A81E-43C93ECF6BDB}">
  <ds:schemaRefs/>
</ds:datastoreItem>
</file>

<file path=customXml/itemProps2.xml><?xml version="1.0" encoding="utf-8"?>
<ds:datastoreItem xmlns:ds="http://schemas.openxmlformats.org/officeDocument/2006/customXml" ds:itemID="{569838A9-BD9D-48D6-8428-AB7CA5A12D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5531D6-59A0-41C1-813B-322EF4D76DBE}">
  <ds:schemaRefs/>
</ds:datastoreItem>
</file>

<file path=customXml/itemProps4.xml><?xml version="1.0" encoding="utf-8"?>
<ds:datastoreItem xmlns:ds="http://schemas.openxmlformats.org/officeDocument/2006/customXml" ds:itemID="{69F26396-1064-4756-B85E-C731AEE1090F}">
  <ds:schemaRefs/>
</ds:datastoreItem>
</file>

<file path=customXml/itemProps5.xml><?xml version="1.0" encoding="utf-8"?>
<ds:datastoreItem xmlns:ds="http://schemas.openxmlformats.org/officeDocument/2006/customXml" ds:itemID="{93901861-825C-470A-9051-2623C8FF51F1}">
  <ds:schemaRefs/>
</ds:datastoreItem>
</file>

<file path=customXml/itemProps6.xml><?xml version="1.0" encoding="utf-8"?>
<ds:datastoreItem xmlns:ds="http://schemas.openxmlformats.org/officeDocument/2006/customXml" ds:itemID="{1CF91303-52BD-4B81-866E-0E6C6B2C4C4C}">
  <ds:schemaRefs/>
</ds:datastoreItem>
</file>

<file path=customXml/itemProps7.xml><?xml version="1.0" encoding="utf-8"?>
<ds:datastoreItem xmlns:ds="http://schemas.openxmlformats.org/officeDocument/2006/customXml" ds:itemID="{AC906D3C-D272-4551-80BD-D8511F8993F4}">
  <ds:schemaRefs/>
</ds:datastoreItem>
</file>

<file path=customXml/itemProps8.xml><?xml version="1.0" encoding="utf-8"?>
<ds:datastoreItem xmlns:ds="http://schemas.openxmlformats.org/officeDocument/2006/customXml" ds:itemID="{7F1CF321-19C1-4417-A512-7AC4391E2457}">
  <ds:schemaRefs/>
</ds:datastoreItem>
</file>

<file path=customXml/itemProps9.xml><?xml version="1.0" encoding="utf-8"?>
<ds:datastoreItem xmlns:ds="http://schemas.openxmlformats.org/officeDocument/2006/customXml" ds:itemID="{2BA199EF-5616-43EA-AA0A-9F2E343F8C44}">
  <ds:schemaRefs/>
</ds:datastoreItem>
</file>

<file path=customXml/itemProps10.xml><?xml version="1.0" encoding="utf-8"?>
<ds:datastoreItem xmlns:ds="http://schemas.openxmlformats.org/officeDocument/2006/customXml" ds:itemID="{1E891FE7-6F41-4AB0-A4C8-B94443ED3D9D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71E38F33-3CAF-41B2-90DB-C056236DE162}">
  <ds:schemaRefs/>
</ds:datastoreItem>
</file>

<file path=customXml/itemProps12.xml><?xml version="1.0" encoding="utf-8"?>
<ds:datastoreItem xmlns:ds="http://schemas.openxmlformats.org/officeDocument/2006/customXml" ds:itemID="{C50FE057-F3BA-4B1A-9BC9-6D5DA5DB36C4}">
  <ds:schemaRefs/>
</ds:datastoreItem>
</file>

<file path=customXml/itemProps13.xml><?xml version="1.0" encoding="utf-8"?>
<ds:datastoreItem xmlns:ds="http://schemas.openxmlformats.org/officeDocument/2006/customXml" ds:itemID="{A780CB3C-B4B9-4C50-A813-C108E2D80882}">
  <ds:schemaRefs/>
</ds:datastoreItem>
</file>

<file path=customXml/itemProps14.xml><?xml version="1.0" encoding="utf-8"?>
<ds:datastoreItem xmlns:ds="http://schemas.openxmlformats.org/officeDocument/2006/customXml" ds:itemID="{9144E3C6-5AA0-4E68-8884-19BE730B2E26}">
  <ds:schemaRefs/>
</ds:datastoreItem>
</file>

<file path=customXml/itemProps15.xml><?xml version="1.0" encoding="utf-8"?>
<ds:datastoreItem xmlns:ds="http://schemas.openxmlformats.org/officeDocument/2006/customXml" ds:itemID="{5A732F0C-8BC9-40FE-A371-55A678DEC7B3}">
  <ds:schemaRefs>
    <ds:schemaRef ds:uri="c27e73a8-6c2b-47ad-b1e4-d9404b3be5e2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5ade46-9cd6-4083-8cb3-6493c3d322e5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customXml/itemProps16.xml><?xml version="1.0" encoding="utf-8"?>
<ds:datastoreItem xmlns:ds="http://schemas.openxmlformats.org/officeDocument/2006/customXml" ds:itemID="{99E3744B-89E3-4E02-82CF-D35CBD293307}">
  <ds:schemaRefs/>
</ds:datastoreItem>
</file>

<file path=customXml/itemProps17.xml><?xml version="1.0" encoding="utf-8"?>
<ds:datastoreItem xmlns:ds="http://schemas.openxmlformats.org/officeDocument/2006/customXml" ds:itemID="{2FE0455A-B4D9-4F1F-9B3B-9550E8C2E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7e73a8-6c2b-47ad-b1e4-d9404b3be5e2"/>
    <ds:schemaRef ds:uri="aa5ade46-9cd6-4083-8cb3-6493c3d322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F89D50CB-B54E-4C83-B453-EC59298C8ACC}">
  <ds:schemaRefs/>
</ds:datastoreItem>
</file>

<file path=customXml/itemProps19.xml><?xml version="1.0" encoding="utf-8"?>
<ds:datastoreItem xmlns:ds="http://schemas.openxmlformats.org/officeDocument/2006/customXml" ds:itemID="{FC6AA3B1-D583-44CF-978D-E082C4132012}">
  <ds:schemaRefs/>
</ds:datastoreItem>
</file>

<file path=customXml/itemProps20.xml><?xml version="1.0" encoding="utf-8"?>
<ds:datastoreItem xmlns:ds="http://schemas.openxmlformats.org/officeDocument/2006/customXml" ds:itemID="{2E766631-C8FA-4CBB-A04F-6B32EAB2E2BF}">
  <ds:schemaRefs/>
</ds:datastoreItem>
</file>

<file path=customXml/itemProps21.xml><?xml version="1.0" encoding="utf-8"?>
<ds:datastoreItem xmlns:ds="http://schemas.openxmlformats.org/officeDocument/2006/customXml" ds:itemID="{5E784AB7-21D6-491B-9E05-40AB231A73BD}">
  <ds:schemaRefs/>
</ds:datastoreItem>
</file>

<file path=customXml/itemProps22.xml><?xml version="1.0" encoding="utf-8"?>
<ds:datastoreItem xmlns:ds="http://schemas.openxmlformats.org/officeDocument/2006/customXml" ds:itemID="{25F00219-4F82-481C-95CD-A515EA1961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Hours</vt:lpstr>
      <vt:lpstr>Meta</vt:lpstr>
      <vt:lpstr>Activities</vt:lpstr>
      <vt:lpstr>Activity</vt:lpstr>
      <vt:lpstr>asdf</vt:lpstr>
      <vt:lpstr>asdfasdfasdfa</vt:lpstr>
      <vt:lpstr>asdfsdaf</vt:lpstr>
      <vt:lpstr>Clients</vt:lpstr>
      <vt:lpstr>Clients_projects_rates</vt:lpstr>
      <vt:lpstr>ds_hours</vt:lpstr>
      <vt:lpstr>FLAF</vt:lpstr>
      <vt:lpstr>Hours_reg</vt:lpstr>
      <vt:lpstr>owieur</vt:lpstr>
      <vt:lpstr>Projects</vt:lpstr>
      <vt:lpstr>Resources</vt:lpstr>
      <vt:lpstr>Ressource</vt:lpstr>
      <vt:lpstr>rewtwert</vt:lpstr>
      <vt:lpstr>sdaf</vt:lpstr>
      <vt:lpstr>weqrfxavf</vt:lpstr>
      <vt:lpstr>xcnbmv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Schaarup;Dennis Stokholm</dc:creator>
  <cp:lastModifiedBy>Dennis Stokholm</cp:lastModifiedBy>
  <cp:lastPrinted>2026-01-06T22:49:45Z</cp:lastPrinted>
  <dcterms:created xsi:type="dcterms:W3CDTF">2023-08-08T08:36:23Z</dcterms:created>
  <dcterms:modified xsi:type="dcterms:W3CDTF">2026-02-20T12:36:58Z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0x010100D7725ECEB9D266489A4C4BAEE9C138D7</vt:lpwstr>
  </property>
  <property fmtid="{D5CDD505-2E9C-101B-9397-08002B2CF9AE}" pid="3" name="MediaServiceImageTags">
    <vt:lpwstr/>
  </property>
</Properties>
</file>